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https://d.docs.live.net/b51d9c02f9c5383f/Documents/Job Project/"/>
    </mc:Choice>
  </mc:AlternateContent>
  <xr:revisionPtr revIDLastSave="13" documentId="11_0454B34C2713B6B9954B856D346B649852AE08BE" xr6:coauthVersionLast="47" xr6:coauthVersionMax="47" xr10:uidLastSave="{05095DB8-FDE5-4671-80A4-F3C4562A9017}"/>
  <bookViews>
    <workbookView xWindow="-110" yWindow="-110" windowWidth="19420" windowHeight="10300" xr2:uid="{00000000-000D-0000-FFFF-FFFF00000000}"/>
  </bookViews>
  <sheets>
    <sheet name="POWER BI" sheetId="3" r:id="rId1"/>
    <sheet name="Sheet1" sheetId="2" r:id="rId2"/>
    <sheet name="Google_Ads_data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" i="1" l="1"/>
  <c r="Q3" i="1"/>
  <c r="Q4" i="1"/>
  <c r="Q5" i="1"/>
  <c r="Q6" i="1"/>
  <c r="Q7" i="1"/>
  <c r="Q8" i="1"/>
  <c r="Q9" i="1"/>
  <c r="Q10" i="1"/>
  <c r="Q11" i="1"/>
  <c r="Q12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2" i="1"/>
</calcChain>
</file>

<file path=xl/sharedStrings.xml><?xml version="1.0" encoding="utf-8"?>
<sst xmlns="http://schemas.openxmlformats.org/spreadsheetml/2006/main" count="6515" uniqueCount="149">
  <si>
    <t>Date</t>
  </si>
  <si>
    <t>Data Source name</t>
  </si>
  <si>
    <t>Campaign</t>
  </si>
  <si>
    <t>Campaign Status</t>
  </si>
  <si>
    <t>Cost (INR)</t>
  </si>
  <si>
    <t>Clicks</t>
  </si>
  <si>
    <t>Impressions</t>
  </si>
  <si>
    <t>CPC (INR)</t>
  </si>
  <si>
    <t>CTR</t>
  </si>
  <si>
    <t>CPM (INR)</t>
  </si>
  <si>
    <t>Conversions</t>
  </si>
  <si>
    <t>Conv. Value (INR)</t>
  </si>
  <si>
    <t>Geo Location Segment</t>
  </si>
  <si>
    <t>Country Funnel</t>
  </si>
  <si>
    <t>Country</t>
  </si>
  <si>
    <t>13-03-2026</t>
  </si>
  <si>
    <t>XYZ Luxury</t>
  </si>
  <si>
    <t>Growify | Sales | Shopping | US+Canada | DS</t>
  </si>
  <si>
    <t>PAUSED</t>
  </si>
  <si>
    <t>Rest of the World</t>
  </si>
  <si>
    <t>Canada</t>
  </si>
  <si>
    <t>14-03-2026</t>
  </si>
  <si>
    <t>15-03-2026</t>
  </si>
  <si>
    <t>16-03-2026</t>
  </si>
  <si>
    <t>17-03-2026</t>
  </si>
  <si>
    <t>18-03-2026</t>
  </si>
  <si>
    <t>21-03-2026</t>
  </si>
  <si>
    <t>22-03-2026</t>
  </si>
  <si>
    <t>23-03-2026</t>
  </si>
  <si>
    <t>24-03-2026</t>
  </si>
  <si>
    <t>Growify_XYZ LuxuryP_Pmax_India_03-02-2025</t>
  </si>
  <si>
    <t>India</t>
  </si>
  <si>
    <t>19-03-2026</t>
  </si>
  <si>
    <t>25-03-2026</t>
  </si>
  <si>
    <t>27-03-2026</t>
  </si>
  <si>
    <t>28-03-2026</t>
  </si>
  <si>
    <t>29-03-2026</t>
  </si>
  <si>
    <t>30-03-2026</t>
  </si>
  <si>
    <t>31-03-2026</t>
  </si>
  <si>
    <t>Growify_XYZ LuxuryP_Pmax_India_27/03/26</t>
  </si>
  <si>
    <t>Growify_XYZ LuxuryP_Search_India-12/12/25</t>
  </si>
  <si>
    <t>ENABLED</t>
  </si>
  <si>
    <t>26-03-2026</t>
  </si>
  <si>
    <t>USA</t>
  </si>
  <si>
    <t>United States</t>
  </si>
  <si>
    <t>21-06-2026</t>
  </si>
  <si>
    <t>Growify_XYZ LuxuryP_Search_INT-5/21/26</t>
  </si>
  <si>
    <t>Australia</t>
  </si>
  <si>
    <t>22-06-2026</t>
  </si>
  <si>
    <t>23-06-2026</t>
  </si>
  <si>
    <t>24-06-2026</t>
  </si>
  <si>
    <t>25-06-2026</t>
  </si>
  <si>
    <t>27-06-2026</t>
  </si>
  <si>
    <t>28-06-2026</t>
  </si>
  <si>
    <t>29-06-2026</t>
  </si>
  <si>
    <t>30-06-2026</t>
  </si>
  <si>
    <t>Growify_Performance Max_Listing_INTL</t>
  </si>
  <si>
    <t>13-06-2026</t>
  </si>
  <si>
    <t>14-06-2026</t>
  </si>
  <si>
    <t>15-06-2026</t>
  </si>
  <si>
    <t>16-06-2026</t>
  </si>
  <si>
    <t>17-06-2026</t>
  </si>
  <si>
    <t>18-06-2026</t>
  </si>
  <si>
    <t>19-06-2026</t>
  </si>
  <si>
    <t>20-06-2026</t>
  </si>
  <si>
    <t>26-06-2026</t>
  </si>
  <si>
    <t>Growify | Shopping Ads | All Product | EOSS</t>
  </si>
  <si>
    <t>Growify_P.max_HP_EOSS_Ind</t>
  </si>
  <si>
    <t>Growify_Performance Max_Listing_IND</t>
  </si>
  <si>
    <t>United Kingdom</t>
  </si>
  <si>
    <t>13-08-2026</t>
  </si>
  <si>
    <t>14-08-2026</t>
  </si>
  <si>
    <t>15-08-2026</t>
  </si>
  <si>
    <t>16-08-2026</t>
  </si>
  <si>
    <t>17-08-2026</t>
  </si>
  <si>
    <t>18-08-2026</t>
  </si>
  <si>
    <t>19-08-2026</t>
  </si>
  <si>
    <t>21-08-2026</t>
  </si>
  <si>
    <t>22-08-2026</t>
  </si>
  <si>
    <t>23-08-2026</t>
  </si>
  <si>
    <t>24-08-2026</t>
  </si>
  <si>
    <t>25-08-2026</t>
  </si>
  <si>
    <t>26-08-2026</t>
  </si>
  <si>
    <t>27-08-2026</t>
  </si>
  <si>
    <t>20-08-2026</t>
  </si>
  <si>
    <t>13-04-2026</t>
  </si>
  <si>
    <t>14-04-2026</t>
  </si>
  <si>
    <t>15-04-2026</t>
  </si>
  <si>
    <t>16-04-2026</t>
  </si>
  <si>
    <t>17-04-2026</t>
  </si>
  <si>
    <t>18-04-2026</t>
  </si>
  <si>
    <t>19-04-2026</t>
  </si>
  <si>
    <t>20-04-2026</t>
  </si>
  <si>
    <t>21-04-2026</t>
  </si>
  <si>
    <t>22-04-2026</t>
  </si>
  <si>
    <t>23-04-2026</t>
  </si>
  <si>
    <t>24-04-2026</t>
  </si>
  <si>
    <t>25-04-2026</t>
  </si>
  <si>
    <t>26-04-2026</t>
  </si>
  <si>
    <t>27-04-2026</t>
  </si>
  <si>
    <t>28-04-2026</t>
  </si>
  <si>
    <t>29-04-2026</t>
  </si>
  <si>
    <t>30-04-2026</t>
  </si>
  <si>
    <t>26-05-2026</t>
  </si>
  <si>
    <t>27-05-2026</t>
  </si>
  <si>
    <t>28-05-2026</t>
  </si>
  <si>
    <t>29-05-2026</t>
  </si>
  <si>
    <t>30-05-2026</t>
  </si>
  <si>
    <t>31-05-2026</t>
  </si>
  <si>
    <t>13-05-2026</t>
  </si>
  <si>
    <t>14-05-2026</t>
  </si>
  <si>
    <t>15-05-2026</t>
  </si>
  <si>
    <t>16-05-2026</t>
  </si>
  <si>
    <t>17-05-2026</t>
  </si>
  <si>
    <t>18-05-2026</t>
  </si>
  <si>
    <t>19-05-2026</t>
  </si>
  <si>
    <t>20-05-2026</t>
  </si>
  <si>
    <t>21-05-2026</t>
  </si>
  <si>
    <t>22-05-2026</t>
  </si>
  <si>
    <t>23-05-2026</t>
  </si>
  <si>
    <t>24-05-2026</t>
  </si>
  <si>
    <t>25-05-2026</t>
  </si>
  <si>
    <t>15-07-2026</t>
  </si>
  <si>
    <t>16-07-2026</t>
  </si>
  <si>
    <t>17-07-2026</t>
  </si>
  <si>
    <t>18-07-2026</t>
  </si>
  <si>
    <t>19-07-2026</t>
  </si>
  <si>
    <t>20-07-2026</t>
  </si>
  <si>
    <t>22-07-2026</t>
  </si>
  <si>
    <t>23-07-2026</t>
  </si>
  <si>
    <t>24-07-2026</t>
  </si>
  <si>
    <t>25-07-2026</t>
  </si>
  <si>
    <t>26-07-2026</t>
  </si>
  <si>
    <t>27-07-2026</t>
  </si>
  <si>
    <t>28-07-2026</t>
  </si>
  <si>
    <t>29-07-2026</t>
  </si>
  <si>
    <t>30-07-2026</t>
  </si>
  <si>
    <t>13-07-2026</t>
  </si>
  <si>
    <t>14-07-2026</t>
  </si>
  <si>
    <t>21-07-2026</t>
  </si>
  <si>
    <t>Row Labels</t>
  </si>
  <si>
    <t>Grand Total</t>
  </si>
  <si>
    <t>R0AS</t>
  </si>
  <si>
    <t>CPA</t>
  </si>
  <si>
    <t>Sum of Cost (INR)</t>
  </si>
  <si>
    <t>Sum of Conv. Value (INR)</t>
  </si>
  <si>
    <t>Sum of Clicks</t>
  </si>
  <si>
    <t>Sum of Impressions</t>
  </si>
  <si>
    <t>Sum of CPA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</si>
</sst>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363532</xdr:colOff>
      <xdr:row>40</xdr:row>
      <xdr:rowOff>51693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0627F3-9FC5-DF37-5A4E-1BD8831B4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336332" cy="6401693"/>
        </a:xfrm>
        <a:prstGeom prst="rect">
          <a:avLst/>
        </a:prstGeom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77.995889351849" createdVersion="8" refreshedVersion="8" minRefreshableVersion="3" recordCount="971" xr:uid="{A08B31AD-9A95-4965-B28B-EC8C5A298E08}">
  <cacheSource type="worksheet">
    <worksheetSource ref="A1:O972" sheet="Google_Ads_data"/>
  </cacheSource>
  <cacheFields count="18">
    <cacheField name="Date" numFmtId="0">
      <sharedItems containsDate="1" containsMixedTypes="1" minDate="2026-01-03T00:00:00" maxDate="2026-12-09T00:00:00"/>
    </cacheField>
    <cacheField name="Data Source name" numFmtId="0">
      <sharedItems/>
    </cacheField>
    <cacheField name="Campaign" numFmtId="0">
      <sharedItems/>
    </cacheField>
    <cacheField name="Campaign Status" numFmtId="0">
      <sharedItems/>
    </cacheField>
    <cacheField name="Cost (INR)" numFmtId="0">
      <sharedItems containsSemiMixedTypes="0" containsString="0" containsNumber="1" minValue="0" maxValue="5055.8008909999999"/>
    </cacheField>
    <cacheField name="Clicks" numFmtId="0">
      <sharedItems containsSemiMixedTypes="0" containsString="0" containsNumber="1" containsInteger="1" minValue="0" maxValue="1545"/>
    </cacheField>
    <cacheField name="Impressions" numFmtId="0">
      <sharedItems containsSemiMixedTypes="0" containsString="0" containsNumber="1" containsInteger="1" minValue="1" maxValue="42186"/>
    </cacheField>
    <cacheField name="CPC (INR)" numFmtId="0">
      <sharedItems containsString="0" containsBlank="1" containsNumber="1" minValue="0" maxValue="581.04999999999995"/>
    </cacheField>
    <cacheField name="CTR" numFmtId="0">
      <sharedItems containsSemiMixedTypes="0" containsString="0" containsNumber="1" minValue="0" maxValue="1"/>
    </cacheField>
    <cacheField name="CPM (INR)" numFmtId="0">
      <sharedItems containsSemiMixedTypes="0" containsString="0" containsNumber="1" minValue="0" maxValue="189630"/>
    </cacheField>
    <cacheField name="Conversions" numFmtId="0">
      <sharedItems containsSemiMixedTypes="0" containsString="0" containsNumber="1" minValue="0" maxValue="13"/>
    </cacheField>
    <cacheField name="Conv. Value (INR)" numFmtId="0">
      <sharedItems containsSemiMixedTypes="0" containsString="0" containsNumber="1" minValue="0" maxValue="220118.39999999999"/>
    </cacheField>
    <cacheField name="Geo Location Segment" numFmtId="0">
      <sharedItems/>
    </cacheField>
    <cacheField name="Country Funnel" numFmtId="0">
      <sharedItems/>
    </cacheField>
    <cacheField name="Country" numFmtId="0">
      <sharedItems count="5">
        <s v="Canada"/>
        <s v="India"/>
        <s v="United States"/>
        <s v="Australia"/>
        <s v="United Kingdom"/>
      </sharedItems>
    </cacheField>
    <cacheField name="Field1" numFmtId="0" formula="Conversions/'Cost (INR)'" databaseField="0"/>
    <cacheField name="ROAS" numFmtId="0" formula="'Conv. Value (INR)'/'Cost (INR)'" databaseField="0"/>
    <cacheField name="CPA" numFmtId="0" formula="'Cost (INR)'/Conversion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1">
  <r>
    <s v="13-03-2026"/>
    <s v="XYZ Luxury"/>
    <s v="Growify | Sales | Shopping | US+Canada | DS"/>
    <s v="PAUSED"/>
    <n v="34.463968999999999"/>
    <n v="2"/>
    <n v="141"/>
    <n v="17.231985000000002"/>
    <n v="1.4184E-2"/>
    <n v="244.42531199999999"/>
    <n v="0"/>
    <n v="0"/>
    <s v="Rest of the World"/>
    <s v="Canada"/>
    <x v="0"/>
  </r>
  <r>
    <s v="14-03-2026"/>
    <s v="XYZ Luxury"/>
    <s v="Growify | Sales | Shopping | US+Canada | DS"/>
    <s v="PAUSED"/>
    <n v="304.21471100000002"/>
    <n v="10"/>
    <n v="111"/>
    <n v="30.421471"/>
    <n v="9.0090000000000003E-2"/>
    <n v="2740.673072"/>
    <n v="0"/>
    <n v="0"/>
    <s v="Rest of the World"/>
    <s v="Canada"/>
    <x v="0"/>
  </r>
  <r>
    <s v="15-03-2026"/>
    <s v="XYZ Luxury"/>
    <s v="Growify | Sales | Shopping | US+Canada | DS"/>
    <s v="PAUSED"/>
    <n v="1130.917193"/>
    <n v="10"/>
    <n v="231"/>
    <n v="113.091719"/>
    <n v="4.3290000000000002E-2"/>
    <n v="4895.7454239999997"/>
    <n v="0"/>
    <n v="0"/>
    <s v="Rest of the World"/>
    <s v="Canada"/>
    <x v="0"/>
  </r>
  <r>
    <s v="16-03-2026"/>
    <s v="XYZ Luxury"/>
    <s v="Growify | Sales | Shopping | US+Canada | DS"/>
    <s v="PAUSED"/>
    <n v="310.10403500000001"/>
    <n v="4"/>
    <n v="65"/>
    <n v="77.526009000000002"/>
    <n v="6.1538000000000002E-2"/>
    <n v="4770.8313079999998"/>
    <n v="0"/>
    <n v="0"/>
    <s v="Rest of the World"/>
    <s v="Canada"/>
    <x v="0"/>
  </r>
  <r>
    <s v="17-03-2026"/>
    <s v="XYZ Luxury"/>
    <s v="Growify | Sales | Shopping | US+Canada | DS"/>
    <s v="PAUSED"/>
    <n v="47.66"/>
    <n v="2"/>
    <n v="283"/>
    <n v="23.83"/>
    <n v="7.0670000000000004E-3"/>
    <n v="168.40989400000001"/>
    <n v="0"/>
    <n v="0"/>
    <s v="Rest of the World"/>
    <s v="Canada"/>
    <x v="0"/>
  </r>
  <r>
    <s v="18-03-2026"/>
    <s v="XYZ Luxury"/>
    <s v="Growify | Sales | Shopping | US+Canada | DS"/>
    <s v="PAUSED"/>
    <n v="315.51"/>
    <n v="7"/>
    <n v="553"/>
    <n v="45.072856999999999"/>
    <n v="1.2658000000000001E-2"/>
    <n v="570.54249500000003"/>
    <n v="0"/>
    <n v="0"/>
    <s v="Rest of the World"/>
    <s v="Canada"/>
    <x v="0"/>
  </r>
  <r>
    <s v="21-03-2026"/>
    <s v="XYZ Luxury"/>
    <s v="Growify | Sales | Shopping | US+Canada | DS"/>
    <s v="PAUSED"/>
    <n v="131.59"/>
    <n v="2"/>
    <n v="767"/>
    <n v="65.795000000000002"/>
    <n v="2.6080000000000001E-3"/>
    <n v="171.564537"/>
    <n v="0"/>
    <n v="0"/>
    <s v="Rest of the World"/>
    <s v="Canada"/>
    <x v="0"/>
  </r>
  <r>
    <s v="22-03-2026"/>
    <s v="XYZ Luxury"/>
    <s v="Growify | Sales | Shopping | US+Canada | DS"/>
    <s v="PAUSED"/>
    <n v="910.91912600000001"/>
    <n v="18"/>
    <n v="1128"/>
    <n v="50.606617999999997"/>
    <n v="1.5956999999999999E-2"/>
    <n v="807.55241699999999"/>
    <n v="0"/>
    <n v="0"/>
    <s v="Rest of the World"/>
    <s v="Canada"/>
    <x v="0"/>
  </r>
  <r>
    <s v="23-03-2026"/>
    <s v="XYZ Luxury"/>
    <s v="Growify | Sales | Shopping | US+Canada | DS"/>
    <s v="PAUSED"/>
    <n v="347.83116699999999"/>
    <n v="10"/>
    <n v="669"/>
    <n v="34.783116999999997"/>
    <n v="1.4947999999999999E-2"/>
    <n v="519.92700600000001"/>
    <n v="0"/>
    <n v="0"/>
    <s v="Rest of the World"/>
    <s v="Canada"/>
    <x v="0"/>
  </r>
  <r>
    <s v="24-03-2026"/>
    <s v="XYZ Luxury"/>
    <s v="Growify | Sales | Shopping | US+Canada | DS"/>
    <s v="PAUSED"/>
    <n v="25.26"/>
    <n v="2"/>
    <n v="89"/>
    <n v="12.63"/>
    <n v="2.2471999999999999E-2"/>
    <n v="283.82022499999999"/>
    <n v="0"/>
    <n v="0"/>
    <s v="Rest of the World"/>
    <s v="Canada"/>
    <x v="0"/>
  </r>
  <r>
    <s v="13-03-2026"/>
    <s v="XYZ Luxury"/>
    <s v="Growify_XYZ LuxuryP_Pmax_India_03-02-2025"/>
    <s v="PAUSED"/>
    <n v="72.682209"/>
    <n v="73"/>
    <n v="1354"/>
    <n v="0.99564699999999995"/>
    <n v="5.3913999999999997E-2"/>
    <n v="53.679622999999999"/>
    <n v="0"/>
    <n v="0"/>
    <s v="India"/>
    <s v="India"/>
    <x v="1"/>
  </r>
  <r>
    <s v="14-03-2026"/>
    <s v="XYZ Luxury"/>
    <s v="Growify_XYZ LuxuryP_Pmax_India_03-02-2025"/>
    <s v="PAUSED"/>
    <n v="1898.8104820000001"/>
    <n v="1230"/>
    <n v="16740"/>
    <n v="1.5437479999999999"/>
    <n v="7.3477000000000001E-2"/>
    <n v="113.42953900000001"/>
    <n v="0"/>
    <n v="0"/>
    <s v="India"/>
    <s v="India"/>
    <x v="1"/>
  </r>
  <r>
    <s v="15-03-2026"/>
    <s v="XYZ Luxury"/>
    <s v="Growify_XYZ LuxuryP_Pmax_India_03-02-2025"/>
    <s v="PAUSED"/>
    <n v="5055.8008909999999"/>
    <n v="1545"/>
    <n v="28984"/>
    <n v="3.2723629999999999"/>
    <n v="5.3304999999999998E-2"/>
    <n v="174.434201"/>
    <n v="0"/>
    <n v="0"/>
    <s v="India"/>
    <s v="India"/>
    <x v="1"/>
  </r>
  <r>
    <s v="16-03-2026"/>
    <s v="XYZ Luxury"/>
    <s v="Growify_XYZ LuxuryP_Pmax_India_03-02-2025"/>
    <s v="PAUSED"/>
    <n v="1245.0249449999999"/>
    <n v="120"/>
    <n v="3043"/>
    <n v="10.375208000000001"/>
    <n v="3.9434999999999998E-2"/>
    <n v="409.14391899999998"/>
    <n v="0"/>
    <n v="0"/>
    <s v="India"/>
    <s v="India"/>
    <x v="1"/>
  </r>
  <r>
    <s v="17-03-2026"/>
    <s v="XYZ Luxury"/>
    <s v="Growify_XYZ LuxuryP_Pmax_India_03-02-2025"/>
    <s v="PAUSED"/>
    <n v="2726.0390179999999"/>
    <n v="165"/>
    <n v="6266"/>
    <n v="16.521449"/>
    <n v="2.6332999999999999E-2"/>
    <n v="435.05250799999999"/>
    <n v="0"/>
    <n v="0"/>
    <s v="India"/>
    <s v="India"/>
    <x v="1"/>
  </r>
  <r>
    <s v="18-03-2026"/>
    <s v="XYZ Luxury"/>
    <s v="Growify_XYZ LuxuryP_Pmax_India_03-02-2025"/>
    <s v="PAUSED"/>
    <n v="1989.0668860000001"/>
    <n v="69"/>
    <n v="2072"/>
    <n v="28.827055999999999"/>
    <n v="3.3300999999999997E-2"/>
    <n v="959.97436600000003"/>
    <n v="0"/>
    <n v="9.7965999999999998"/>
    <s v="India"/>
    <s v="India"/>
    <x v="1"/>
  </r>
  <r>
    <s v="19-03-2026"/>
    <s v="XYZ Luxury"/>
    <s v="Growify_XYZ LuxuryP_Pmax_India_03-02-2025"/>
    <s v="PAUSED"/>
    <n v="9.3758359999999996"/>
    <n v="0"/>
    <n v="52"/>
    <m/>
    <n v="0"/>
    <n v="180.30453800000001"/>
    <n v="0"/>
    <n v="0"/>
    <s v="India"/>
    <s v="India"/>
    <x v="1"/>
  </r>
  <r>
    <s v="21-03-2026"/>
    <s v="XYZ Luxury"/>
    <s v="Growify_XYZ LuxuryP_Pmax_India_03-02-2025"/>
    <s v="PAUSED"/>
    <n v="4947.166545"/>
    <n v="500"/>
    <n v="26617"/>
    <n v="9.8943329999999996"/>
    <n v="1.8785E-2"/>
    <n v="185.86491899999999"/>
    <n v="0"/>
    <n v="0"/>
    <s v="India"/>
    <s v="India"/>
    <x v="1"/>
  </r>
  <r>
    <s v="22-03-2026"/>
    <s v="XYZ Luxury"/>
    <s v="Growify_XYZ LuxuryP_Pmax_India_03-02-2025"/>
    <s v="PAUSED"/>
    <n v="4449.3469130000003"/>
    <n v="771"/>
    <n v="42186"/>
    <n v="5.7708779999999997"/>
    <n v="1.8276000000000001E-2"/>
    <n v="105.469751"/>
    <n v="0"/>
    <n v="0"/>
    <s v="India"/>
    <s v="India"/>
    <x v="1"/>
  </r>
  <r>
    <s v="23-03-2026"/>
    <s v="XYZ Luxury"/>
    <s v="Growify_XYZ LuxuryP_Pmax_India_03-02-2025"/>
    <s v="PAUSED"/>
    <n v="4438.0174829999996"/>
    <n v="890"/>
    <n v="41593"/>
    <n v="4.9865360000000001"/>
    <n v="2.1398E-2"/>
    <n v="106.70106699999999"/>
    <n v="0"/>
    <n v="0"/>
    <s v="India"/>
    <s v="India"/>
    <x v="1"/>
  </r>
  <r>
    <s v="24-03-2026"/>
    <s v="XYZ Luxury"/>
    <s v="Growify_XYZ LuxuryP_Pmax_India_03-02-2025"/>
    <s v="PAUSED"/>
    <n v="1360.7223980000001"/>
    <n v="350"/>
    <n v="17622"/>
    <n v="3.887778"/>
    <n v="1.9862000000000001E-2"/>
    <n v="77.217251000000005"/>
    <n v="0"/>
    <n v="0"/>
    <s v="India"/>
    <s v="India"/>
    <x v="1"/>
  </r>
  <r>
    <s v="25-03-2026"/>
    <s v="XYZ Luxury"/>
    <s v="Growify_XYZ LuxuryP_Pmax_India_03-02-2025"/>
    <s v="PAUSED"/>
    <n v="0.79"/>
    <n v="1"/>
    <n v="25"/>
    <n v="0.79"/>
    <n v="0.04"/>
    <n v="31.6"/>
    <n v="0"/>
    <n v="0"/>
    <s v="India"/>
    <s v="India"/>
    <x v="1"/>
  </r>
  <r>
    <s v="27-03-2026"/>
    <s v="XYZ Luxury"/>
    <s v="Growify_XYZ LuxuryP_Pmax_India_03-02-2025"/>
    <s v="PAUSED"/>
    <n v="1178.31"/>
    <n v="202"/>
    <n v="9297"/>
    <n v="5.8332179999999996"/>
    <n v="2.1727E-2"/>
    <n v="126.74088399999999"/>
    <n v="0"/>
    <n v="0"/>
    <s v="India"/>
    <s v="India"/>
    <x v="1"/>
  </r>
  <r>
    <s v="28-03-2026"/>
    <s v="XYZ Luxury"/>
    <s v="Growify_XYZ LuxuryP_Pmax_India_03-02-2025"/>
    <s v="PAUSED"/>
    <n v="1697.1"/>
    <n v="353"/>
    <n v="17899"/>
    <n v="4.8076489999999996"/>
    <n v="1.9722E-2"/>
    <n v="94.815353000000002"/>
    <n v="0"/>
    <n v="0"/>
    <s v="India"/>
    <s v="India"/>
    <x v="1"/>
  </r>
  <r>
    <s v="29-03-2026"/>
    <s v="XYZ Luxury"/>
    <s v="Growify_XYZ LuxuryP_Pmax_India_03-02-2025"/>
    <s v="PAUSED"/>
    <n v="1460.74"/>
    <n v="275"/>
    <n v="16220"/>
    <n v="5.311782"/>
    <n v="1.6954E-2"/>
    <n v="90.057952999999998"/>
    <n v="0"/>
    <n v="0"/>
    <s v="India"/>
    <s v="India"/>
    <x v="1"/>
  </r>
  <r>
    <s v="30-03-2026"/>
    <s v="XYZ Luxury"/>
    <s v="Growify_XYZ LuxuryP_Pmax_India_03-02-2025"/>
    <s v="PAUSED"/>
    <n v="1603.62"/>
    <n v="266"/>
    <n v="16828"/>
    <n v="6.0286470000000003"/>
    <n v="1.5807000000000002E-2"/>
    <n v="95.294747000000001"/>
    <n v="0.87"/>
    <n v="1746.1332"/>
    <s v="India"/>
    <s v="India"/>
    <x v="1"/>
  </r>
  <r>
    <s v="31-03-2026"/>
    <s v="XYZ Luxury"/>
    <s v="Growify_XYZ LuxuryP_Pmax_India_03-02-2025"/>
    <s v="PAUSED"/>
    <n v="998.48818200000005"/>
    <n v="189"/>
    <n v="10459"/>
    <n v="5.2830060000000003"/>
    <n v="1.8071E-2"/>
    <n v="95.466887999999997"/>
    <n v="0"/>
    <n v="0"/>
    <s v="India"/>
    <s v="India"/>
    <x v="1"/>
  </r>
  <r>
    <s v="27-03-2026"/>
    <s v="XYZ Luxury"/>
    <s v="Growify_XYZ LuxuryP_Pmax_India_27/03/26"/>
    <s v="PAUSED"/>
    <n v="1104.32"/>
    <n v="401"/>
    <n v="17756"/>
    <n v="2.7539150000000001"/>
    <n v="2.2584E-2"/>
    <n v="62.194187999999997"/>
    <n v="0"/>
    <n v="0"/>
    <s v="India"/>
    <s v="India"/>
    <x v="1"/>
  </r>
  <r>
    <s v="28-03-2026"/>
    <s v="XYZ Luxury"/>
    <s v="Growify_XYZ LuxuryP_Pmax_India_27/03/26"/>
    <s v="PAUSED"/>
    <n v="1476.7645970000001"/>
    <n v="896"/>
    <n v="25031"/>
    <n v="1.6481749999999999"/>
    <n v="3.5796000000000001E-2"/>
    <n v="58.997427000000002"/>
    <n v="0"/>
    <n v="0"/>
    <s v="India"/>
    <s v="India"/>
    <x v="1"/>
  </r>
  <r>
    <s v="29-03-2026"/>
    <s v="XYZ Luxury"/>
    <s v="Growify_XYZ LuxuryP_Pmax_India_27/03/26"/>
    <s v="PAUSED"/>
    <n v="2519.8435549999999"/>
    <n v="690"/>
    <n v="37504"/>
    <n v="3.6519469999999998"/>
    <n v="1.8398000000000001E-2"/>
    <n v="67.188660999999996"/>
    <n v="0"/>
    <n v="0"/>
    <s v="India"/>
    <s v="India"/>
    <x v="1"/>
  </r>
  <r>
    <s v="30-03-2026"/>
    <s v="XYZ Luxury"/>
    <s v="Growify_XYZ LuxuryP_Pmax_India_27/03/26"/>
    <s v="PAUSED"/>
    <n v="1509.534048"/>
    <n v="472"/>
    <n v="26769"/>
    <n v="3.1981649999999999"/>
    <n v="1.7631999999999998E-2"/>
    <n v="56.391126"/>
    <n v="0"/>
    <n v="0"/>
    <s v="India"/>
    <s v="India"/>
    <x v="1"/>
  </r>
  <r>
    <s v="31-03-2026"/>
    <s v="XYZ Luxury"/>
    <s v="Growify_XYZ LuxuryP_Pmax_India_27/03/26"/>
    <s v="PAUSED"/>
    <n v="669.13768800000003"/>
    <n v="155"/>
    <n v="9916"/>
    <n v="4.3170169999999999"/>
    <n v="1.5630999999999999E-2"/>
    <n v="67.480605999999995"/>
    <n v="0"/>
    <n v="0"/>
    <s v="India"/>
    <s v="India"/>
    <x v="1"/>
  </r>
  <r>
    <d v="2026-01-03T00:00:00"/>
    <s v="XYZ Luxury"/>
    <s v="Growify_XYZ LuxuryP_Search_India-12/12/25"/>
    <s v="ENABLED"/>
    <n v="0"/>
    <n v="2"/>
    <n v="2"/>
    <n v="0"/>
    <n v="1"/>
    <n v="0"/>
    <n v="0"/>
    <n v="0"/>
    <s v="India"/>
    <s v="India"/>
    <x v="1"/>
  </r>
  <r>
    <d v="2026-06-03T00:00:00"/>
    <s v="XYZ Luxury"/>
    <s v="Growify_XYZ LuxuryP_Search_India-12/12/25"/>
    <s v="ENABLED"/>
    <n v="97.433475000000001"/>
    <n v="21"/>
    <n v="37"/>
    <n v="4.6396889999999997"/>
    <n v="0.56756799999999996"/>
    <n v="2633.3371619999998"/>
    <n v="0"/>
    <n v="0"/>
    <s v="India"/>
    <s v="India"/>
    <x v="1"/>
  </r>
  <r>
    <d v="2026-07-03T00:00:00"/>
    <s v="XYZ Luxury"/>
    <s v="Growify_XYZ LuxuryP_Search_India-12/12/25"/>
    <s v="ENABLED"/>
    <n v="414.23577299999999"/>
    <n v="38"/>
    <n v="67"/>
    <n v="10.900941"/>
    <n v="0.567164"/>
    <n v="6182.6234780000004"/>
    <n v="0"/>
    <n v="0"/>
    <s v="India"/>
    <s v="India"/>
    <x v="1"/>
  </r>
  <r>
    <d v="2026-08-03T00:00:00"/>
    <s v="XYZ Luxury"/>
    <s v="Growify_XYZ LuxuryP_Search_India-12/12/25"/>
    <s v="ENABLED"/>
    <n v="248.29442499999999"/>
    <n v="31"/>
    <n v="50"/>
    <n v="8.0094980000000007"/>
    <n v="0.62"/>
    <n v="4965.8885"/>
    <n v="0"/>
    <n v="0"/>
    <s v="India"/>
    <s v="India"/>
    <x v="1"/>
  </r>
  <r>
    <d v="2026-09-03T00:00:00"/>
    <s v="XYZ Luxury"/>
    <s v="Growify_XYZ LuxuryP_Search_India-12/12/25"/>
    <s v="ENABLED"/>
    <n v="428.02695"/>
    <n v="47"/>
    <n v="67"/>
    <n v="9.1069560000000003"/>
    <n v="0.70149300000000003"/>
    <n v="6388.4619400000001"/>
    <n v="0"/>
    <n v="0"/>
    <s v="India"/>
    <s v="India"/>
    <x v="1"/>
  </r>
  <r>
    <d v="2026-10-03T00:00:00"/>
    <s v="XYZ Luxury"/>
    <s v="Growify_XYZ LuxuryP_Search_India-12/12/25"/>
    <s v="ENABLED"/>
    <n v="410.271546"/>
    <n v="45"/>
    <n v="73"/>
    <n v="9.1171450000000007"/>
    <n v="0.61643800000000004"/>
    <n v="5620.1581640000004"/>
    <n v="0"/>
    <n v="0"/>
    <s v="India"/>
    <s v="India"/>
    <x v="1"/>
  </r>
  <r>
    <d v="2026-11-03T00:00:00"/>
    <s v="XYZ Luxury"/>
    <s v="Growify_XYZ LuxuryP_Search_India-12/12/25"/>
    <s v="ENABLED"/>
    <n v="90.001495000000006"/>
    <n v="45"/>
    <n v="70"/>
    <n v="2.0000330000000002"/>
    <n v="0.64285700000000001"/>
    <n v="1285.735643"/>
    <n v="0"/>
    <n v="0"/>
    <s v="India"/>
    <s v="India"/>
    <x v="1"/>
  </r>
  <r>
    <d v="2026-12-03T00:00:00"/>
    <s v="XYZ Luxury"/>
    <s v="Growify_XYZ LuxuryP_Search_India-12/12/25"/>
    <s v="ENABLED"/>
    <n v="145.47781000000001"/>
    <n v="41"/>
    <n v="75"/>
    <n v="3.5482390000000001"/>
    <n v="0.54666700000000001"/>
    <n v="1939.704133"/>
    <n v="0"/>
    <n v="0"/>
    <s v="India"/>
    <s v="India"/>
    <x v="1"/>
  </r>
  <r>
    <s v="13-03-2026"/>
    <s v="XYZ Luxury"/>
    <s v="Growify_XYZ LuxuryP_Search_India-12/12/25"/>
    <s v="ENABLED"/>
    <n v="103.92801300000001"/>
    <n v="50"/>
    <n v="74"/>
    <n v="2.07856"/>
    <n v="0.67567600000000005"/>
    <n v="1404.4326080000001"/>
    <n v="0"/>
    <n v="0"/>
    <s v="India"/>
    <s v="India"/>
    <x v="1"/>
  </r>
  <r>
    <s v="14-03-2026"/>
    <s v="XYZ Luxury"/>
    <s v="Growify_XYZ LuxuryP_Search_India-12/12/25"/>
    <s v="ENABLED"/>
    <n v="124.166534"/>
    <n v="22"/>
    <n v="44"/>
    <n v="5.6439329999999996"/>
    <n v="0.5"/>
    <n v="2821.9666820000002"/>
    <n v="0"/>
    <n v="0"/>
    <s v="India"/>
    <s v="India"/>
    <x v="1"/>
  </r>
  <r>
    <s v="15-03-2026"/>
    <s v="XYZ Luxury"/>
    <s v="Growify_XYZ LuxuryP_Search_India-12/12/25"/>
    <s v="ENABLED"/>
    <n v="669.02726800000005"/>
    <n v="32"/>
    <n v="41"/>
    <n v="20.907101999999998"/>
    <n v="0.78048799999999996"/>
    <n v="16317.738240000001"/>
    <n v="0"/>
    <n v="0"/>
    <s v="India"/>
    <s v="India"/>
    <x v="1"/>
  </r>
  <r>
    <s v="16-03-2026"/>
    <s v="XYZ Luxury"/>
    <s v="Growify_XYZ LuxuryP_Search_India-12/12/25"/>
    <s v="ENABLED"/>
    <n v="340.52"/>
    <n v="40"/>
    <n v="70"/>
    <n v="8.5129999999999999"/>
    <n v="0.57142899999999996"/>
    <n v="4864.5714289999996"/>
    <n v="0"/>
    <n v="0"/>
    <s v="India"/>
    <s v="India"/>
    <x v="1"/>
  </r>
  <r>
    <s v="17-03-2026"/>
    <s v="XYZ Luxury"/>
    <s v="Growify_XYZ LuxuryP_Search_India-12/12/25"/>
    <s v="ENABLED"/>
    <n v="74.964782999999997"/>
    <n v="27"/>
    <n v="61"/>
    <n v="2.7764730000000002"/>
    <n v="0.44262299999999999"/>
    <n v="1228.930869"/>
    <n v="0"/>
    <n v="0"/>
    <s v="India"/>
    <s v="India"/>
    <x v="1"/>
  </r>
  <r>
    <s v="18-03-2026"/>
    <s v="XYZ Luxury"/>
    <s v="Growify_XYZ LuxuryP_Search_India-12/12/25"/>
    <s v="ENABLED"/>
    <n v="0.34"/>
    <n v="1"/>
    <n v="4"/>
    <n v="0.34"/>
    <n v="0.25"/>
    <n v="85"/>
    <n v="0"/>
    <n v="0"/>
    <s v="India"/>
    <s v="India"/>
    <x v="1"/>
  </r>
  <r>
    <s v="21-03-2026"/>
    <s v="XYZ Luxury"/>
    <s v="Growify_XYZ LuxuryP_Search_India-12/12/25"/>
    <s v="ENABLED"/>
    <n v="44.345773000000001"/>
    <n v="25"/>
    <n v="35"/>
    <n v="1.7738309999999999"/>
    <n v="0.71428599999999998"/>
    <n v="1267.0220859999999"/>
    <n v="0"/>
    <n v="0"/>
    <s v="India"/>
    <s v="India"/>
    <x v="1"/>
  </r>
  <r>
    <s v="22-03-2026"/>
    <s v="XYZ Luxury"/>
    <s v="Growify_XYZ LuxuryP_Search_India-12/12/25"/>
    <s v="ENABLED"/>
    <n v="245.69"/>
    <n v="49"/>
    <n v="63"/>
    <n v="5.0140820000000001"/>
    <n v="0.77777799999999997"/>
    <n v="3899.8412699999999"/>
    <n v="1"/>
    <n v="8369.5"/>
    <s v="India"/>
    <s v="India"/>
    <x v="1"/>
  </r>
  <r>
    <s v="23-03-2026"/>
    <s v="XYZ Luxury"/>
    <s v="Growify_XYZ LuxuryP_Search_India-12/12/25"/>
    <s v="ENABLED"/>
    <n v="73.159047999999999"/>
    <n v="41"/>
    <n v="70"/>
    <n v="1.784367"/>
    <n v="0.58571399999999996"/>
    <n v="1045.1292570000001"/>
    <n v="0"/>
    <n v="0"/>
    <s v="India"/>
    <s v="India"/>
    <x v="1"/>
  </r>
  <r>
    <s v="24-03-2026"/>
    <s v="XYZ Luxury"/>
    <s v="Growify_XYZ LuxuryP_Search_India-12/12/25"/>
    <s v="ENABLED"/>
    <n v="4.93"/>
    <n v="13"/>
    <n v="22"/>
    <n v="0.37923099999999998"/>
    <n v="0.59090900000000002"/>
    <n v="224.09090900000001"/>
    <n v="0"/>
    <n v="0"/>
    <s v="India"/>
    <s v="India"/>
    <x v="1"/>
  </r>
  <r>
    <s v="26-03-2026"/>
    <s v="XYZ Luxury"/>
    <s v="Growify_XYZ LuxuryP_Search_India-12/12/25"/>
    <s v="ENABLED"/>
    <n v="70.22"/>
    <n v="17"/>
    <n v="26"/>
    <n v="4.1305880000000004"/>
    <n v="0.65384600000000004"/>
    <n v="2700.7692310000002"/>
    <n v="0"/>
    <n v="0"/>
    <s v="India"/>
    <s v="India"/>
    <x v="1"/>
  </r>
  <r>
    <s v="27-03-2026"/>
    <s v="XYZ Luxury"/>
    <s v="Growify_XYZ LuxuryP_Search_India-12/12/25"/>
    <s v="ENABLED"/>
    <n v="191.289356"/>
    <n v="29"/>
    <n v="41"/>
    <n v="6.5961850000000002"/>
    <n v="0.70731699999999997"/>
    <n v="4665.5940490000003"/>
    <n v="0.04"/>
    <n v="351.43549999999999"/>
    <s v="India"/>
    <s v="India"/>
    <x v="1"/>
  </r>
  <r>
    <s v="28-03-2026"/>
    <s v="XYZ Luxury"/>
    <s v="Growify_XYZ LuxuryP_Search_India-12/12/25"/>
    <s v="ENABLED"/>
    <n v="424.21695"/>
    <n v="39"/>
    <n v="58"/>
    <n v="10.877357999999999"/>
    <n v="0.67241399999999996"/>
    <n v="7314.0853450000004"/>
    <n v="0"/>
    <n v="0"/>
    <s v="India"/>
    <s v="India"/>
    <x v="1"/>
  </r>
  <r>
    <s v="29-03-2026"/>
    <s v="XYZ Luxury"/>
    <s v="Growify_XYZ LuxuryP_Search_India-12/12/25"/>
    <s v="ENABLED"/>
    <n v="48.373454000000002"/>
    <n v="28"/>
    <n v="48"/>
    <n v="1.7276229999999999"/>
    <n v="0.58333299999999999"/>
    <n v="1007.780292"/>
    <n v="0"/>
    <n v="0"/>
    <s v="India"/>
    <s v="India"/>
    <x v="1"/>
  </r>
  <r>
    <s v="30-03-2026"/>
    <s v="XYZ Luxury"/>
    <s v="Growify_XYZ LuxuryP_Search_India-12/12/25"/>
    <s v="ENABLED"/>
    <n v="190.78467699999999"/>
    <n v="41"/>
    <n v="70"/>
    <n v="4.6532850000000003"/>
    <n v="0.58571399999999996"/>
    <n v="2725.4953860000001"/>
    <n v="0"/>
    <n v="0"/>
    <s v="India"/>
    <s v="India"/>
    <x v="1"/>
  </r>
  <r>
    <s v="31-03-2026"/>
    <s v="XYZ Luxury"/>
    <s v="Growify_XYZ LuxuryP_Search_India-12/12/25"/>
    <s v="ENABLED"/>
    <n v="405.51"/>
    <n v="58"/>
    <n v="97"/>
    <n v="6.9915520000000004"/>
    <n v="0.59793799999999997"/>
    <n v="4180.5154640000001"/>
    <n v="0"/>
    <n v="0"/>
    <s v="India"/>
    <s v="India"/>
    <x v="1"/>
  </r>
  <r>
    <s v="13-03-2026"/>
    <s v="XYZ Luxury"/>
    <s v="Growify | Sales | Shopping | US+Canada | DS"/>
    <s v="PAUSED"/>
    <n v="2.0744349999999998"/>
    <n v="1"/>
    <n v="101"/>
    <n v="2.0744349999999998"/>
    <n v="9.9010000000000001E-3"/>
    <n v="20.538959999999999"/>
    <n v="0"/>
    <n v="0"/>
    <s v="USA"/>
    <s v="United States"/>
    <x v="2"/>
  </r>
  <r>
    <s v="14-03-2026"/>
    <s v="XYZ Luxury"/>
    <s v="Growify | Sales | Shopping | US+Canada | DS"/>
    <s v="PAUSED"/>
    <n v="2924.9267869999999"/>
    <n v="13"/>
    <n v="347"/>
    <n v="224.99436800000001"/>
    <n v="3.7463999999999997E-2"/>
    <n v="8429.1838239999997"/>
    <n v="0"/>
    <n v="0"/>
    <s v="USA"/>
    <s v="United States"/>
    <x v="2"/>
  </r>
  <r>
    <s v="15-03-2026"/>
    <s v="XYZ Luxury"/>
    <s v="Growify | Sales | Shopping | US+Canada | DS"/>
    <s v="PAUSED"/>
    <n v="1236.8702229999999"/>
    <n v="13"/>
    <n v="328"/>
    <n v="95.143862999999996"/>
    <n v="3.9634000000000003E-2"/>
    <n v="3770.9458020000002"/>
    <n v="0"/>
    <n v="0"/>
    <s v="USA"/>
    <s v="United States"/>
    <x v="2"/>
  </r>
  <r>
    <s v="16-03-2026"/>
    <s v="XYZ Luxury"/>
    <s v="Growify | Sales | Shopping | US+Canada | DS"/>
    <s v="PAUSED"/>
    <n v="1426.249405"/>
    <n v="10"/>
    <n v="188"/>
    <n v="142.62494100000001"/>
    <n v="5.3191000000000002E-2"/>
    <n v="7586.4330049999999"/>
    <n v="0"/>
    <n v="0"/>
    <s v="USA"/>
    <s v="United States"/>
    <x v="2"/>
  </r>
  <r>
    <s v="17-03-2026"/>
    <s v="XYZ Luxury"/>
    <s v="Growify | Sales | Shopping | US+Canada | DS"/>
    <s v="PAUSED"/>
    <n v="334.97"/>
    <n v="8"/>
    <n v="594"/>
    <n v="41.871250000000003"/>
    <n v="1.3468000000000001E-2"/>
    <n v="563.92255899999998"/>
    <n v="0"/>
    <n v="0"/>
    <s v="USA"/>
    <s v="United States"/>
    <x v="2"/>
  </r>
  <r>
    <s v="18-03-2026"/>
    <s v="XYZ Luxury"/>
    <s v="Growify | Sales | Shopping | US+Canada | DS"/>
    <s v="PAUSED"/>
    <n v="1360.93"/>
    <n v="15"/>
    <n v="1066"/>
    <n v="90.728667000000002"/>
    <n v="1.4071E-2"/>
    <n v="1276.6697939999999"/>
    <n v="0"/>
    <n v="0"/>
    <s v="USA"/>
    <s v="United States"/>
    <x v="2"/>
  </r>
  <r>
    <s v="21-03-2026"/>
    <s v="XYZ Luxury"/>
    <s v="Growify | Sales | Shopping | US+Canada | DS"/>
    <s v="PAUSED"/>
    <n v="3867.91"/>
    <n v="42"/>
    <n v="3644"/>
    <n v="92.093095000000005"/>
    <n v="1.1526E-2"/>
    <n v="1061.4462129999999"/>
    <n v="0"/>
    <n v="0"/>
    <s v="USA"/>
    <s v="United States"/>
    <x v="2"/>
  </r>
  <r>
    <s v="22-03-2026"/>
    <s v="XYZ Luxury"/>
    <s v="Growify | Sales | Shopping | US+Canada | DS"/>
    <s v="PAUSED"/>
    <n v="2481.42"/>
    <n v="45"/>
    <n v="6234"/>
    <n v="55.142667000000003"/>
    <n v="7.2179999999999996E-3"/>
    <n v="398.046198"/>
    <n v="0"/>
    <n v="0"/>
    <s v="USA"/>
    <s v="United States"/>
    <x v="2"/>
  </r>
  <r>
    <s v="23-03-2026"/>
    <s v="XYZ Luxury"/>
    <s v="Growify | Sales | Shopping | US+Canada | DS"/>
    <s v="PAUSED"/>
    <n v="1998.2740590000001"/>
    <n v="48"/>
    <n v="3938"/>
    <n v="41.630710000000001"/>
    <n v="1.2189E-2"/>
    <n v="507.43373800000001"/>
    <n v="0"/>
    <n v="0"/>
    <s v="USA"/>
    <s v="United States"/>
    <x v="2"/>
  </r>
  <r>
    <s v="24-03-2026"/>
    <s v="XYZ Luxury"/>
    <s v="Growify | Sales | Shopping | US+Canada | DS"/>
    <s v="PAUSED"/>
    <n v="94.2"/>
    <n v="3"/>
    <n v="429"/>
    <n v="31.4"/>
    <n v="6.9930000000000001E-3"/>
    <n v="219.58042"/>
    <n v="0"/>
    <n v="0"/>
    <s v="USA"/>
    <s v="United States"/>
    <x v="2"/>
  </r>
  <r>
    <s v="25-03-2026"/>
    <s v="XYZ Luxury"/>
    <s v="Growify | Sales | Shopping | US+Canada | DS"/>
    <s v="PAUSED"/>
    <n v="0"/>
    <n v="0"/>
    <n v="1"/>
    <m/>
    <n v="0"/>
    <n v="0"/>
    <n v="0"/>
    <n v="0"/>
    <s v="USA"/>
    <s v="United States"/>
    <x v="2"/>
  </r>
  <r>
    <s v="19-03-2026"/>
    <s v="XYZ Luxury"/>
    <s v="Growify | Sales | Shopping | US+Canada | DS"/>
    <s v="PAUSED"/>
    <n v="0"/>
    <n v="0"/>
    <n v="2"/>
    <m/>
    <n v="0"/>
    <n v="0"/>
    <n v="0"/>
    <n v="0"/>
    <s v="USA"/>
    <s v="United States"/>
    <x v="2"/>
  </r>
  <r>
    <s v="21-06-2026"/>
    <s v="XYZ Luxury"/>
    <s v="Growify_XYZ LuxuryP_Search_INT-5/21/26"/>
    <s v="ENABLED"/>
    <n v="441.23"/>
    <n v="6"/>
    <n v="12"/>
    <n v="73.538332999999994"/>
    <n v="0.5"/>
    <n v="36769.166669999999"/>
    <n v="0"/>
    <n v="0"/>
    <s v="Rest of the World"/>
    <s v="Australia"/>
    <x v="3"/>
  </r>
  <r>
    <s v="22-06-2026"/>
    <s v="XYZ Luxury"/>
    <s v="Growify_XYZ LuxuryP_Search_INT-5/21/26"/>
    <s v="ENABLED"/>
    <n v="1517.04"/>
    <n v="4"/>
    <n v="8"/>
    <n v="379.26"/>
    <n v="0.5"/>
    <n v="189630"/>
    <n v="0"/>
    <n v="0"/>
    <s v="Rest of the World"/>
    <s v="Australia"/>
    <x v="3"/>
  </r>
  <r>
    <s v="23-06-2026"/>
    <s v="XYZ Luxury"/>
    <s v="Growify_XYZ LuxuryP_Search_INT-5/21/26"/>
    <s v="ENABLED"/>
    <n v="3.97"/>
    <n v="3"/>
    <n v="9"/>
    <n v="1.3233330000000001"/>
    <n v="0.33333299999999999"/>
    <n v="441.11111099999999"/>
    <n v="0"/>
    <n v="0"/>
    <s v="Rest of the World"/>
    <s v="Australia"/>
    <x v="3"/>
  </r>
  <r>
    <s v="24-06-2026"/>
    <s v="XYZ Luxury"/>
    <s v="Growify_XYZ LuxuryP_Search_INT-5/21/26"/>
    <s v="ENABLED"/>
    <n v="7.86"/>
    <n v="6"/>
    <n v="21"/>
    <n v="1.31"/>
    <n v="0.28571400000000002"/>
    <n v="374.28571399999998"/>
    <n v="0"/>
    <n v="0"/>
    <s v="Rest of the World"/>
    <s v="Australia"/>
    <x v="3"/>
  </r>
  <r>
    <s v="25-06-2026"/>
    <s v="XYZ Luxury"/>
    <s v="Growify_XYZ LuxuryP_Search_INT-5/21/26"/>
    <s v="ENABLED"/>
    <n v="126.02"/>
    <n v="6"/>
    <n v="13"/>
    <n v="21.003333000000001"/>
    <n v="0.461538"/>
    <n v="9693.8461540000008"/>
    <n v="0"/>
    <n v="0"/>
    <s v="Rest of the World"/>
    <s v="Australia"/>
    <x v="3"/>
  </r>
  <r>
    <s v="27-06-2026"/>
    <s v="XYZ Luxury"/>
    <s v="Growify_XYZ LuxuryP_Search_INT-5/21/26"/>
    <s v="ENABLED"/>
    <n v="48.88"/>
    <n v="8"/>
    <n v="15"/>
    <n v="6.11"/>
    <n v="0.53333299999999995"/>
    <n v="3258.666667"/>
    <n v="0"/>
    <n v="0"/>
    <s v="Rest of the World"/>
    <s v="Australia"/>
    <x v="3"/>
  </r>
  <r>
    <s v="28-06-2026"/>
    <s v="XYZ Luxury"/>
    <s v="Growify_XYZ LuxuryP_Search_INT-5/21/26"/>
    <s v="ENABLED"/>
    <n v="3.93"/>
    <n v="3"/>
    <n v="10"/>
    <n v="1.31"/>
    <n v="0.3"/>
    <n v="393"/>
    <n v="0"/>
    <n v="0"/>
    <s v="Rest of the World"/>
    <s v="Australia"/>
    <x v="3"/>
  </r>
  <r>
    <s v="29-06-2026"/>
    <s v="XYZ Luxury"/>
    <s v="Growify_XYZ LuxuryP_Search_INT-5/21/26"/>
    <s v="ENABLED"/>
    <n v="13.08"/>
    <n v="10"/>
    <n v="25"/>
    <n v="1.3080000000000001"/>
    <n v="0.4"/>
    <n v="523.20000000000005"/>
    <n v="0"/>
    <n v="0"/>
    <s v="Rest of the World"/>
    <s v="Australia"/>
    <x v="3"/>
  </r>
  <r>
    <s v="30-06-2026"/>
    <s v="XYZ Luxury"/>
    <s v="Growify_XYZ LuxuryP_Search_INT-5/21/26"/>
    <s v="ENABLED"/>
    <n v="108.73"/>
    <n v="10"/>
    <n v="27"/>
    <n v="10.872999999999999"/>
    <n v="0.37036999999999998"/>
    <n v="4027.0370370000001"/>
    <n v="0"/>
    <n v="0"/>
    <s v="Rest of the World"/>
    <s v="Australia"/>
    <x v="3"/>
  </r>
  <r>
    <s v="21-06-2026"/>
    <s v="XYZ Luxury"/>
    <s v="Growify_Performance Max_Listing_INTL"/>
    <s v="ENABLED"/>
    <n v="16.670000000000002"/>
    <n v="4"/>
    <n v="204"/>
    <n v="4.1675000000000004"/>
    <n v="1.9608E-2"/>
    <n v="81.715686000000005"/>
    <n v="0"/>
    <n v="0"/>
    <s v="Rest of the World"/>
    <s v="Australia"/>
    <x v="3"/>
  </r>
  <r>
    <s v="22-06-2026"/>
    <s v="XYZ Luxury"/>
    <s v="Growify_Performance Max_Listing_INTL"/>
    <s v="ENABLED"/>
    <n v="250.913724"/>
    <n v="4"/>
    <n v="497"/>
    <n v="62.728431"/>
    <n v="8.0479999999999996E-3"/>
    <n v="504.85658799999999"/>
    <n v="0"/>
    <n v="0"/>
    <s v="Rest of the World"/>
    <s v="Australia"/>
    <x v="3"/>
  </r>
  <r>
    <s v="23-06-2026"/>
    <s v="XYZ Luxury"/>
    <s v="Growify_Performance Max_Listing_INTL"/>
    <s v="ENABLED"/>
    <n v="56.126323999999997"/>
    <n v="4"/>
    <n v="259"/>
    <n v="14.031580999999999"/>
    <n v="1.5443999999999999E-2"/>
    <n v="216.70395400000001"/>
    <n v="0"/>
    <n v="0"/>
    <s v="Rest of the World"/>
    <s v="Australia"/>
    <x v="3"/>
  </r>
  <r>
    <s v="24-06-2026"/>
    <s v="XYZ Luxury"/>
    <s v="Growify_Performance Max_Listing_INTL"/>
    <s v="ENABLED"/>
    <n v="49.56"/>
    <n v="3"/>
    <n v="159"/>
    <n v="16.52"/>
    <n v="1.8867999999999999E-2"/>
    <n v="311.69811299999998"/>
    <n v="0"/>
    <n v="0"/>
    <s v="Rest of the World"/>
    <s v="Australia"/>
    <x v="3"/>
  </r>
  <r>
    <s v="25-06-2026"/>
    <s v="XYZ Luxury"/>
    <s v="Growify_Performance Max_Listing_INTL"/>
    <s v="ENABLED"/>
    <n v="8.6"/>
    <n v="2"/>
    <n v="76"/>
    <n v="4.3"/>
    <n v="2.6315999999999999E-2"/>
    <n v="113.157895"/>
    <n v="0"/>
    <n v="0"/>
    <s v="Rest of the World"/>
    <s v="Australia"/>
    <x v="3"/>
  </r>
  <r>
    <s v="27-06-2026"/>
    <s v="XYZ Luxury"/>
    <s v="Growify_Performance Max_Listing_INTL"/>
    <s v="ENABLED"/>
    <n v="358.12383899999998"/>
    <n v="13"/>
    <n v="516"/>
    <n v="27.547988"/>
    <n v="2.5194000000000001E-2"/>
    <n v="694.03844800000002"/>
    <n v="0"/>
    <n v="0"/>
    <s v="Rest of the World"/>
    <s v="Australia"/>
    <x v="3"/>
  </r>
  <r>
    <s v="28-06-2026"/>
    <s v="XYZ Luxury"/>
    <s v="Growify_Performance Max_Listing_INTL"/>
    <s v="ENABLED"/>
    <n v="48.67"/>
    <n v="5"/>
    <n v="198"/>
    <n v="9.734"/>
    <n v="2.5253000000000001E-2"/>
    <n v="245.80808099999999"/>
    <n v="0"/>
    <n v="0"/>
    <s v="Rest of the World"/>
    <s v="Australia"/>
    <x v="3"/>
  </r>
  <r>
    <s v="29-06-2026"/>
    <s v="XYZ Luxury"/>
    <s v="Growify_Performance Max_Listing_INTL"/>
    <s v="ENABLED"/>
    <n v="30.954584000000001"/>
    <n v="3"/>
    <n v="478"/>
    <n v="10.318194999999999"/>
    <n v="6.2760000000000003E-3"/>
    <n v="64.758544000000001"/>
    <n v="0"/>
    <n v="0"/>
    <s v="Rest of the World"/>
    <s v="Australia"/>
    <x v="3"/>
  </r>
  <r>
    <s v="30-06-2026"/>
    <s v="XYZ Luxury"/>
    <s v="Growify_Performance Max_Listing_INTL"/>
    <s v="ENABLED"/>
    <n v="43.94"/>
    <n v="3"/>
    <n v="408"/>
    <n v="14.646667000000001"/>
    <n v="7.3530000000000002E-3"/>
    <n v="107.696078"/>
    <n v="0"/>
    <n v="0"/>
    <s v="Rest of the World"/>
    <s v="Australia"/>
    <x v="3"/>
  </r>
  <r>
    <d v="2026-01-06T00:00:00"/>
    <s v="XYZ Luxury"/>
    <s v="Growify_XYZ LuxuryP_Search_INT-5/21/26"/>
    <s v="ENABLED"/>
    <n v="15.213875"/>
    <n v="5"/>
    <n v="17"/>
    <n v="3.0427749999999998"/>
    <n v="0.29411799999999999"/>
    <n v="894.93382399999996"/>
    <n v="1"/>
    <n v="11000"/>
    <s v="Rest of the World"/>
    <s v="Canada"/>
    <x v="0"/>
  </r>
  <r>
    <d v="2026-02-06T00:00:00"/>
    <s v="XYZ Luxury"/>
    <s v="Growify_XYZ LuxuryP_Search_INT-5/21/26"/>
    <s v="ENABLED"/>
    <n v="795.17809399999999"/>
    <n v="5"/>
    <n v="19"/>
    <n v="159.035619"/>
    <n v="0.263158"/>
    <n v="41851.478629999998"/>
    <n v="0"/>
    <n v="0"/>
    <s v="Rest of the World"/>
    <s v="Canada"/>
    <x v="0"/>
  </r>
  <r>
    <d v="2026-03-06T00:00:00"/>
    <s v="XYZ Luxury"/>
    <s v="Growify_XYZ LuxuryP_Search_INT-5/21/26"/>
    <s v="ENABLED"/>
    <n v="410.92937599999999"/>
    <n v="17"/>
    <n v="42"/>
    <n v="24.172315999999999"/>
    <n v="0.40476200000000001"/>
    <n v="9784.0327620000007"/>
    <n v="2"/>
    <n v="91766.399999999994"/>
    <s v="Rest of the World"/>
    <s v="Canada"/>
    <x v="0"/>
  </r>
  <r>
    <d v="2026-04-06T00:00:00"/>
    <s v="XYZ Luxury"/>
    <s v="Growify_XYZ LuxuryP_Search_INT-5/21/26"/>
    <s v="ENABLED"/>
    <n v="397.07047299999999"/>
    <n v="12"/>
    <n v="37"/>
    <n v="33.089205999999997"/>
    <n v="0.324324"/>
    <n v="10731.634410000001"/>
    <n v="0"/>
    <n v="0"/>
    <s v="Rest of the World"/>
    <s v="Canada"/>
    <x v="0"/>
  </r>
  <r>
    <d v="2026-05-06T00:00:00"/>
    <s v="XYZ Luxury"/>
    <s v="Growify_XYZ LuxuryP_Search_INT-5/21/26"/>
    <s v="ENABLED"/>
    <n v="73.893896999999996"/>
    <n v="11"/>
    <n v="21"/>
    <n v="6.7176270000000002"/>
    <n v="0.52381"/>
    <n v="3518.7570000000001"/>
    <n v="0.5"/>
    <n v="6325"/>
    <s v="Rest of the World"/>
    <s v="Canada"/>
    <x v="0"/>
  </r>
  <r>
    <d v="2026-06-06T00:00:00"/>
    <s v="XYZ Luxury"/>
    <s v="Growify_XYZ LuxuryP_Search_INT-5/21/26"/>
    <s v="ENABLED"/>
    <n v="43.057805000000002"/>
    <n v="12"/>
    <n v="31"/>
    <n v="3.5881500000000002"/>
    <n v="0.38709700000000002"/>
    <n v="1388.961452"/>
    <n v="0"/>
    <n v="0"/>
    <s v="Rest of the World"/>
    <s v="Canada"/>
    <x v="0"/>
  </r>
  <r>
    <d v="2026-07-06T00:00:00"/>
    <s v="XYZ Luxury"/>
    <s v="Growify_XYZ LuxuryP_Search_INT-5/21/26"/>
    <s v="ENABLED"/>
    <n v="82.039353000000006"/>
    <n v="16"/>
    <n v="33"/>
    <n v="5.1274600000000001"/>
    <n v="0.484848"/>
    <n v="2486.0410000000002"/>
    <n v="1.5"/>
    <n v="37675"/>
    <s v="Rest of the World"/>
    <s v="Canada"/>
    <x v="0"/>
  </r>
  <r>
    <d v="2026-08-06T00:00:00"/>
    <s v="XYZ Luxury"/>
    <s v="Growify_XYZ LuxuryP_Search_INT-5/21/26"/>
    <s v="ENABLED"/>
    <n v="71.392385000000004"/>
    <n v="9"/>
    <n v="26"/>
    <n v="7.9324870000000001"/>
    <n v="0.34615400000000002"/>
    <n v="2745.8609620000002"/>
    <n v="0"/>
    <n v="0"/>
    <s v="Rest of the World"/>
    <s v="Canada"/>
    <x v="0"/>
  </r>
  <r>
    <d v="2026-09-06T00:00:00"/>
    <s v="XYZ Luxury"/>
    <s v="Growify_XYZ LuxuryP_Search_INT-5/21/26"/>
    <s v="ENABLED"/>
    <n v="104.50054299999999"/>
    <n v="10"/>
    <n v="28"/>
    <n v="10.450054"/>
    <n v="0.35714299999999999"/>
    <n v="3732.1622499999999"/>
    <n v="0"/>
    <n v="0"/>
    <s v="Rest of the World"/>
    <s v="Canada"/>
    <x v="0"/>
  </r>
  <r>
    <d v="2026-10-06T00:00:00"/>
    <s v="XYZ Luxury"/>
    <s v="Growify_XYZ LuxuryP_Search_INT-5/21/26"/>
    <s v="ENABLED"/>
    <n v="71.995125999999999"/>
    <n v="12"/>
    <n v="27"/>
    <n v="5.9995940000000001"/>
    <n v="0.44444400000000001"/>
    <n v="2666.486148"/>
    <n v="0"/>
    <n v="0"/>
    <s v="Rest of the World"/>
    <s v="Canada"/>
    <x v="0"/>
  </r>
  <r>
    <d v="2026-11-06T00:00:00"/>
    <s v="XYZ Luxury"/>
    <s v="Growify_XYZ LuxuryP_Search_INT-5/21/26"/>
    <s v="ENABLED"/>
    <n v="428.12908399999998"/>
    <n v="16"/>
    <n v="39"/>
    <n v="26.758068000000002"/>
    <n v="0.41025600000000001"/>
    <n v="10977.668820000001"/>
    <n v="0"/>
    <n v="0"/>
    <s v="Rest of the World"/>
    <s v="Canada"/>
    <x v="0"/>
  </r>
  <r>
    <d v="2026-12-06T00:00:00"/>
    <s v="XYZ Luxury"/>
    <s v="Growify_XYZ LuxuryP_Search_INT-5/21/26"/>
    <s v="ENABLED"/>
    <n v="803.50770599999998"/>
    <n v="7"/>
    <n v="22"/>
    <n v="114.786815"/>
    <n v="0.31818200000000002"/>
    <n v="36523.077550000002"/>
    <n v="0"/>
    <n v="0"/>
    <s v="Rest of the World"/>
    <s v="Canada"/>
    <x v="0"/>
  </r>
  <r>
    <s v="13-06-2026"/>
    <s v="XYZ Luxury"/>
    <s v="Growify_XYZ LuxuryP_Search_INT-5/21/26"/>
    <s v="ENABLED"/>
    <n v="512.98349299999995"/>
    <n v="17"/>
    <n v="35"/>
    <n v="30.1755"/>
    <n v="0.48571399999999998"/>
    <n v="14656.67123"/>
    <n v="0"/>
    <n v="0"/>
    <s v="Rest of the World"/>
    <s v="Canada"/>
    <x v="0"/>
  </r>
  <r>
    <s v="14-06-2026"/>
    <s v="XYZ Luxury"/>
    <s v="Growify_XYZ LuxuryP_Search_INT-5/21/26"/>
    <s v="ENABLED"/>
    <n v="889.03315599999996"/>
    <n v="16"/>
    <n v="51"/>
    <n v="55.564571999999998"/>
    <n v="0.31372499999999998"/>
    <n v="17432.022669999998"/>
    <n v="1"/>
    <n v="10300"/>
    <s v="Rest of the World"/>
    <s v="Canada"/>
    <x v="0"/>
  </r>
  <r>
    <s v="15-06-2026"/>
    <s v="XYZ Luxury"/>
    <s v="Growify_XYZ LuxuryP_Search_INT-5/21/26"/>
    <s v="ENABLED"/>
    <n v="473.83269899999999"/>
    <n v="18"/>
    <n v="44"/>
    <n v="26.324038999999999"/>
    <n v="0.40909099999999998"/>
    <n v="10768.92498"/>
    <n v="0"/>
    <n v="0"/>
    <s v="Rest of the World"/>
    <s v="Canada"/>
    <x v="0"/>
  </r>
  <r>
    <s v="16-06-2026"/>
    <s v="XYZ Luxury"/>
    <s v="Growify_XYZ LuxuryP_Search_INT-5/21/26"/>
    <s v="ENABLED"/>
    <n v="535.50441499999999"/>
    <n v="15"/>
    <n v="50"/>
    <n v="35.700294"/>
    <n v="0.3"/>
    <n v="10710.088299999999"/>
    <n v="1"/>
    <n v="27720"/>
    <s v="Rest of the World"/>
    <s v="Canada"/>
    <x v="0"/>
  </r>
  <r>
    <s v="17-06-2026"/>
    <s v="XYZ Luxury"/>
    <s v="Growify_XYZ LuxuryP_Search_INT-5/21/26"/>
    <s v="ENABLED"/>
    <n v="387.68916400000001"/>
    <n v="22"/>
    <n v="45"/>
    <n v="17.622235"/>
    <n v="0.48888900000000002"/>
    <n v="8615.3147559999998"/>
    <n v="0"/>
    <n v="0"/>
    <s v="Rest of the World"/>
    <s v="Canada"/>
    <x v="0"/>
  </r>
  <r>
    <s v="18-06-2026"/>
    <s v="XYZ Luxury"/>
    <s v="Growify_XYZ LuxuryP_Search_INT-5/21/26"/>
    <s v="ENABLED"/>
    <n v="48.19"/>
    <n v="13"/>
    <n v="31"/>
    <n v="3.7069230000000002"/>
    <n v="0.41935499999999998"/>
    <n v="1554.5161290000001"/>
    <n v="0"/>
    <n v="0"/>
    <s v="Rest of the World"/>
    <s v="Canada"/>
    <x v="0"/>
  </r>
  <r>
    <s v="19-06-2026"/>
    <s v="XYZ Luxury"/>
    <s v="Growify_XYZ LuxuryP_Search_INT-5/21/26"/>
    <s v="ENABLED"/>
    <n v="196.16683399999999"/>
    <n v="12"/>
    <n v="34"/>
    <n v="16.347235999999999"/>
    <n v="0.352941"/>
    <n v="5769.6127649999999"/>
    <n v="0"/>
    <n v="0"/>
    <s v="Rest of the World"/>
    <s v="Canada"/>
    <x v="0"/>
  </r>
  <r>
    <s v="20-06-2026"/>
    <s v="XYZ Luxury"/>
    <s v="Growify_XYZ LuxuryP_Search_INT-5/21/26"/>
    <s v="ENABLED"/>
    <n v="1034.223988"/>
    <n v="10"/>
    <n v="27"/>
    <n v="103.422399"/>
    <n v="0.37036999999999998"/>
    <n v="38304.592149999997"/>
    <n v="0"/>
    <n v="0"/>
    <s v="Rest of the World"/>
    <s v="Canada"/>
    <x v="0"/>
  </r>
  <r>
    <s v="21-06-2026"/>
    <s v="XYZ Luxury"/>
    <s v="Growify_XYZ LuxuryP_Search_INT-5/21/26"/>
    <s v="ENABLED"/>
    <n v="1497.75"/>
    <n v="8"/>
    <n v="34"/>
    <n v="187.21875"/>
    <n v="0.235294"/>
    <n v="44051.470589999997"/>
    <n v="0"/>
    <n v="0"/>
    <s v="Rest of the World"/>
    <s v="Canada"/>
    <x v="0"/>
  </r>
  <r>
    <s v="22-06-2026"/>
    <s v="XYZ Luxury"/>
    <s v="Growify_XYZ LuxuryP_Search_INT-5/21/26"/>
    <s v="ENABLED"/>
    <n v="404.696663"/>
    <n v="15"/>
    <n v="50"/>
    <n v="26.979778"/>
    <n v="0.3"/>
    <n v="8093.9332599999998"/>
    <n v="0"/>
    <n v="0"/>
    <s v="Rest of the World"/>
    <s v="Canada"/>
    <x v="0"/>
  </r>
  <r>
    <s v="23-06-2026"/>
    <s v="XYZ Luxury"/>
    <s v="Growify_XYZ LuxuryP_Search_INT-5/21/26"/>
    <s v="ENABLED"/>
    <n v="32.79"/>
    <n v="7"/>
    <n v="26"/>
    <n v="4.6842860000000002"/>
    <n v="0.269231"/>
    <n v="1261.1538459999999"/>
    <n v="0"/>
    <n v="0"/>
    <s v="Rest of the World"/>
    <s v="Canada"/>
    <x v="0"/>
  </r>
  <r>
    <s v="24-06-2026"/>
    <s v="XYZ Luxury"/>
    <s v="Growify_XYZ LuxuryP_Search_INT-5/21/26"/>
    <s v="ENABLED"/>
    <n v="210.21"/>
    <n v="10"/>
    <n v="35"/>
    <n v="21.021000000000001"/>
    <n v="0.28571400000000002"/>
    <n v="6006"/>
    <n v="1"/>
    <n v="13776.2"/>
    <s v="Rest of the World"/>
    <s v="Canada"/>
    <x v="0"/>
  </r>
  <r>
    <s v="25-06-2026"/>
    <s v="XYZ Luxury"/>
    <s v="Growify_XYZ LuxuryP_Search_INT-5/21/26"/>
    <s v="ENABLED"/>
    <n v="369.73"/>
    <n v="12"/>
    <n v="32"/>
    <n v="30.810832999999999"/>
    <n v="0.375"/>
    <n v="11554.0625"/>
    <n v="0"/>
    <n v="0"/>
    <s v="Rest of the World"/>
    <s v="Canada"/>
    <x v="0"/>
  </r>
  <r>
    <s v="26-06-2026"/>
    <s v="XYZ Luxury"/>
    <s v="Growify_XYZ LuxuryP_Search_INT-5/21/26"/>
    <s v="ENABLED"/>
    <n v="36.659999999999997"/>
    <n v="11"/>
    <n v="31"/>
    <n v="3.3327270000000002"/>
    <n v="0.35483900000000002"/>
    <n v="1182.580645"/>
    <n v="0"/>
    <n v="0"/>
    <s v="Rest of the World"/>
    <s v="Canada"/>
    <x v="0"/>
  </r>
  <r>
    <s v="27-06-2026"/>
    <s v="XYZ Luxury"/>
    <s v="Growify_XYZ LuxuryP_Search_INT-5/21/26"/>
    <s v="ENABLED"/>
    <n v="544.266569"/>
    <n v="12"/>
    <n v="40"/>
    <n v="45.355547000000001"/>
    <n v="0.3"/>
    <n v="13606.66423"/>
    <n v="0"/>
    <n v="0"/>
    <s v="Rest of the World"/>
    <s v="Canada"/>
    <x v="0"/>
  </r>
  <r>
    <s v="28-06-2026"/>
    <s v="XYZ Luxury"/>
    <s v="Growify_XYZ LuxuryP_Search_INT-5/21/26"/>
    <s v="ENABLED"/>
    <n v="222.22977299999999"/>
    <n v="8"/>
    <n v="32"/>
    <n v="27.778721999999998"/>
    <n v="0.25"/>
    <n v="6944.6804060000004"/>
    <n v="0"/>
    <n v="0"/>
    <s v="Rest of the World"/>
    <s v="Canada"/>
    <x v="0"/>
  </r>
  <r>
    <s v="29-06-2026"/>
    <s v="XYZ Luxury"/>
    <s v="Growify_XYZ LuxuryP_Search_INT-5/21/26"/>
    <s v="ENABLED"/>
    <n v="323.82"/>
    <n v="18"/>
    <n v="41"/>
    <n v="17.989999999999998"/>
    <n v="0.43902400000000003"/>
    <n v="7898.0487800000001"/>
    <n v="1"/>
    <n v="31616"/>
    <s v="Rest of the World"/>
    <s v="Canada"/>
    <x v="0"/>
  </r>
  <r>
    <s v="30-06-2026"/>
    <s v="XYZ Luxury"/>
    <s v="Growify_XYZ LuxuryP_Search_INT-5/21/26"/>
    <s v="ENABLED"/>
    <n v="170.9"/>
    <n v="20"/>
    <n v="54"/>
    <n v="8.5449999999999999"/>
    <n v="0.37036999999999998"/>
    <n v="3164.8148150000002"/>
    <n v="0"/>
    <n v="0"/>
    <s v="Rest of the World"/>
    <s v="Canada"/>
    <x v="0"/>
  </r>
  <r>
    <s v="21-06-2026"/>
    <s v="XYZ Luxury"/>
    <s v="Growify_Performance Max_Listing_INTL"/>
    <s v="ENABLED"/>
    <n v="45.689207000000003"/>
    <n v="3"/>
    <n v="227"/>
    <n v="15.229736000000001"/>
    <n v="1.3216E-2"/>
    <n v="201.27404000000001"/>
    <n v="0"/>
    <n v="0"/>
    <s v="Rest of the World"/>
    <s v="Canada"/>
    <x v="0"/>
  </r>
  <r>
    <s v="22-06-2026"/>
    <s v="XYZ Luxury"/>
    <s v="Growify_Performance Max_Listing_INTL"/>
    <s v="ENABLED"/>
    <n v="529.50221499999998"/>
    <n v="14"/>
    <n v="491"/>
    <n v="37.821587000000001"/>
    <n v="2.8513E-2"/>
    <n v="1078.4159159999999"/>
    <n v="0"/>
    <n v="0"/>
    <s v="Rest of the World"/>
    <s v="Canada"/>
    <x v="0"/>
  </r>
  <r>
    <s v="23-06-2026"/>
    <s v="XYZ Luxury"/>
    <s v="Growify_Performance Max_Listing_INTL"/>
    <s v="ENABLED"/>
    <n v="142.30687599999999"/>
    <n v="7"/>
    <n v="363"/>
    <n v="20.329554000000002"/>
    <n v="1.9283999999999999E-2"/>
    <n v="392.02996100000001"/>
    <n v="0"/>
    <n v="0"/>
    <s v="Rest of the World"/>
    <s v="Canada"/>
    <x v="0"/>
  </r>
  <r>
    <s v="24-06-2026"/>
    <s v="XYZ Luxury"/>
    <s v="Growify_Performance Max_Listing_INTL"/>
    <s v="ENABLED"/>
    <n v="16.55"/>
    <n v="1"/>
    <n v="204"/>
    <n v="16.55"/>
    <n v="4.9020000000000001E-3"/>
    <n v="81.127450999999994"/>
    <n v="0"/>
    <n v="0"/>
    <s v="Rest of the World"/>
    <s v="Canada"/>
    <x v="0"/>
  </r>
  <r>
    <s v="25-06-2026"/>
    <s v="XYZ Luxury"/>
    <s v="Growify_Performance Max_Listing_INTL"/>
    <s v="ENABLED"/>
    <n v="215.916686"/>
    <n v="6"/>
    <n v="222"/>
    <n v="35.986114000000001"/>
    <n v="2.7026999999999999E-2"/>
    <n v="972.59768499999996"/>
    <n v="0"/>
    <n v="0"/>
    <s v="Rest of the World"/>
    <s v="Canada"/>
    <x v="0"/>
  </r>
  <r>
    <s v="26-06-2026"/>
    <s v="XYZ Luxury"/>
    <s v="Growify_Performance Max_Listing_INTL"/>
    <s v="ENABLED"/>
    <n v="43.741501"/>
    <n v="3"/>
    <n v="273"/>
    <n v="14.580500000000001"/>
    <n v="1.0989000000000001E-2"/>
    <n v="160.225278"/>
    <n v="0"/>
    <n v="0"/>
    <s v="Rest of the World"/>
    <s v="Canada"/>
    <x v="0"/>
  </r>
  <r>
    <s v="27-06-2026"/>
    <s v="XYZ Luxury"/>
    <s v="Growify_Performance Max_Listing_INTL"/>
    <s v="ENABLED"/>
    <n v="271.493157"/>
    <n v="10"/>
    <n v="781"/>
    <n v="27.149315999999999"/>
    <n v="1.2803999999999999E-2"/>
    <n v="347.62248"/>
    <n v="0"/>
    <n v="0"/>
    <s v="Rest of the World"/>
    <s v="Canada"/>
    <x v="0"/>
  </r>
  <r>
    <s v="28-06-2026"/>
    <s v="XYZ Luxury"/>
    <s v="Growify_Performance Max_Listing_INTL"/>
    <s v="ENABLED"/>
    <n v="152.28959599999999"/>
    <n v="8"/>
    <n v="514"/>
    <n v="19.036200000000001"/>
    <n v="1.5564E-2"/>
    <n v="296.28326099999998"/>
    <n v="0"/>
    <n v="0"/>
    <s v="Rest of the World"/>
    <s v="Canada"/>
    <x v="0"/>
  </r>
  <r>
    <s v="29-06-2026"/>
    <s v="XYZ Luxury"/>
    <s v="Growify_Performance Max_Listing_INTL"/>
    <s v="ENABLED"/>
    <n v="550.75095199999998"/>
    <n v="20"/>
    <n v="611"/>
    <n v="27.537548000000001"/>
    <n v="3.2732999999999998E-2"/>
    <n v="901.39272000000005"/>
    <n v="0"/>
    <n v="0"/>
    <s v="Rest of the World"/>
    <s v="Canada"/>
    <x v="0"/>
  </r>
  <r>
    <s v="30-06-2026"/>
    <s v="XYZ Luxury"/>
    <s v="Growify_Performance Max_Listing_INTL"/>
    <s v="ENABLED"/>
    <n v="251.63"/>
    <n v="3"/>
    <n v="421"/>
    <n v="83.876666999999998"/>
    <n v="7.1260000000000004E-3"/>
    <n v="597.69596200000001"/>
    <n v="0"/>
    <n v="0"/>
    <s v="Rest of the World"/>
    <s v="Canada"/>
    <x v="0"/>
  </r>
  <r>
    <d v="2026-01-06T00:00:00"/>
    <s v="XYZ Luxury"/>
    <s v="Growify | Shopping Ads | All Product | EOSS"/>
    <s v="PAUSED"/>
    <n v="569.89"/>
    <n v="57"/>
    <n v="4746"/>
    <n v="9.9980700000000002"/>
    <n v="1.201E-2"/>
    <n v="120.07796"/>
    <n v="0"/>
    <n v="0"/>
    <s v="India"/>
    <s v="India"/>
    <x v="1"/>
  </r>
  <r>
    <d v="2026-02-06T00:00:00"/>
    <s v="XYZ Luxury"/>
    <s v="Growify | Shopping Ads | All Product | EOSS"/>
    <s v="PAUSED"/>
    <n v="1506.82"/>
    <n v="168"/>
    <n v="14213"/>
    <n v="8.9691670000000006"/>
    <n v="1.1820000000000001E-2"/>
    <n v="106.017027"/>
    <n v="0"/>
    <n v="0"/>
    <s v="India"/>
    <s v="India"/>
    <x v="1"/>
  </r>
  <r>
    <d v="2026-03-06T00:00:00"/>
    <s v="XYZ Luxury"/>
    <s v="Growify | Shopping Ads | All Product | EOSS"/>
    <s v="PAUSED"/>
    <n v="439.63"/>
    <n v="54"/>
    <n v="6436"/>
    <n v="8.1412960000000005"/>
    <n v="8.3899999999999999E-3"/>
    <n v="68.307955000000007"/>
    <n v="0"/>
    <n v="0"/>
    <s v="India"/>
    <s v="India"/>
    <x v="1"/>
  </r>
  <r>
    <d v="2026-04-06T00:00:00"/>
    <s v="XYZ Luxury"/>
    <s v="Growify | Shopping Ads | All Product | EOSS"/>
    <s v="PAUSED"/>
    <n v="43.71"/>
    <n v="8"/>
    <n v="841"/>
    <n v="5.4637500000000001"/>
    <n v="9.5119999999999996E-3"/>
    <n v="51.973841"/>
    <n v="0"/>
    <n v="0"/>
    <s v="India"/>
    <s v="India"/>
    <x v="1"/>
  </r>
  <r>
    <d v="2026-05-06T00:00:00"/>
    <s v="XYZ Luxury"/>
    <s v="Growify | Shopping Ads | All Product | EOSS"/>
    <s v="PAUSED"/>
    <n v="5.33"/>
    <n v="10"/>
    <n v="468"/>
    <n v="0.53300000000000003"/>
    <n v="2.1368000000000002E-2"/>
    <n v="11.388889000000001"/>
    <n v="0"/>
    <n v="0"/>
    <s v="India"/>
    <s v="India"/>
    <x v="1"/>
  </r>
  <r>
    <d v="2026-06-06T00:00:00"/>
    <s v="XYZ Luxury"/>
    <s v="Growify | Shopping Ads | All Product | EOSS"/>
    <s v="PAUSED"/>
    <n v="2.97"/>
    <n v="3"/>
    <n v="277"/>
    <n v="0.99"/>
    <n v="1.0829999999999999E-2"/>
    <n v="10.722022000000001"/>
    <n v="0"/>
    <n v="0"/>
    <s v="India"/>
    <s v="India"/>
    <x v="1"/>
  </r>
  <r>
    <d v="2026-07-06T00:00:00"/>
    <s v="XYZ Luxury"/>
    <s v="Growify | Shopping Ads | All Product | EOSS"/>
    <s v="PAUSED"/>
    <n v="45.25"/>
    <n v="9"/>
    <n v="309"/>
    <n v="5.0277779999999996"/>
    <n v="2.9125999999999999E-2"/>
    <n v="146.44012900000001"/>
    <n v="0"/>
    <n v="0"/>
    <s v="India"/>
    <s v="India"/>
    <x v="1"/>
  </r>
  <r>
    <d v="2026-08-06T00:00:00"/>
    <s v="XYZ Luxury"/>
    <s v="Growify | Shopping Ads | All Product | EOSS"/>
    <s v="PAUSED"/>
    <n v="9.25"/>
    <n v="3"/>
    <n v="209"/>
    <n v="3.0833330000000001"/>
    <n v="1.4354E-2"/>
    <n v="44.258372999999999"/>
    <n v="0"/>
    <n v="0"/>
    <s v="India"/>
    <s v="India"/>
    <x v="1"/>
  </r>
  <r>
    <d v="2026-09-06T00:00:00"/>
    <s v="XYZ Luxury"/>
    <s v="Growify | Shopping Ads | All Product | EOSS"/>
    <s v="PAUSED"/>
    <n v="38.86"/>
    <n v="6"/>
    <n v="570"/>
    <n v="6.476667"/>
    <n v="1.0526000000000001E-2"/>
    <n v="68.175438999999997"/>
    <n v="0"/>
    <n v="0"/>
    <s v="India"/>
    <s v="India"/>
    <x v="1"/>
  </r>
  <r>
    <d v="2026-10-06T00:00:00"/>
    <s v="XYZ Luxury"/>
    <s v="Growify | Shopping Ads | All Product | EOSS"/>
    <s v="PAUSED"/>
    <n v="63.04"/>
    <n v="16"/>
    <n v="1033"/>
    <n v="3.94"/>
    <n v="1.5488999999999999E-2"/>
    <n v="61.026136999999999"/>
    <n v="0"/>
    <n v="0"/>
    <s v="India"/>
    <s v="India"/>
    <x v="1"/>
  </r>
  <r>
    <d v="2026-11-06T00:00:00"/>
    <s v="XYZ Luxury"/>
    <s v="Growify | Shopping Ads | All Product | EOSS"/>
    <s v="PAUSED"/>
    <n v="269.93"/>
    <n v="38"/>
    <n v="2158"/>
    <n v="7.103421"/>
    <n v="1.7609E-2"/>
    <n v="125.083411"/>
    <n v="0"/>
    <n v="0"/>
    <s v="India"/>
    <s v="India"/>
    <x v="1"/>
  </r>
  <r>
    <d v="2026-12-06T00:00:00"/>
    <s v="XYZ Luxury"/>
    <s v="Growify | Shopping Ads | All Product | EOSS"/>
    <s v="PAUSED"/>
    <n v="292.66000000000003"/>
    <n v="48"/>
    <n v="4112"/>
    <n v="6.0970829999999996"/>
    <n v="1.1672999999999999E-2"/>
    <n v="71.172179"/>
    <n v="0"/>
    <n v="0"/>
    <s v="India"/>
    <s v="India"/>
    <x v="1"/>
  </r>
  <r>
    <s v="13-06-2026"/>
    <s v="XYZ Luxury"/>
    <s v="Growify | Shopping Ads | All Product | EOSS"/>
    <s v="PAUSED"/>
    <n v="999.85"/>
    <n v="79"/>
    <n v="5527"/>
    <n v="12.656328999999999"/>
    <n v="1.4293E-2"/>
    <n v="180.902841"/>
    <n v="0"/>
    <n v="0"/>
    <s v="India"/>
    <s v="India"/>
    <x v="1"/>
  </r>
  <r>
    <s v="14-06-2026"/>
    <s v="XYZ Luxury"/>
    <s v="Growify | Shopping Ads | All Product | EOSS"/>
    <s v="PAUSED"/>
    <n v="720.74"/>
    <n v="89"/>
    <n v="5382"/>
    <n v="8.0982020000000006"/>
    <n v="1.6537E-2"/>
    <n v="133.91676000000001"/>
    <n v="0"/>
    <n v="0"/>
    <s v="India"/>
    <s v="India"/>
    <x v="1"/>
  </r>
  <r>
    <s v="15-06-2026"/>
    <s v="XYZ Luxury"/>
    <s v="Growify | Shopping Ads | All Product | EOSS"/>
    <s v="PAUSED"/>
    <n v="999.97"/>
    <n v="69"/>
    <n v="5424"/>
    <n v="14.492319"/>
    <n v="1.2721E-2"/>
    <n v="184.36025100000001"/>
    <n v="0"/>
    <n v="0"/>
    <s v="India"/>
    <s v="India"/>
    <x v="1"/>
  </r>
  <r>
    <s v="16-06-2026"/>
    <s v="XYZ Luxury"/>
    <s v="Growify | Shopping Ads | All Product | EOSS"/>
    <s v="PAUSED"/>
    <n v="999.98"/>
    <n v="136"/>
    <n v="9144"/>
    <n v="7.3527940000000003"/>
    <n v="1.4873000000000001E-2"/>
    <n v="109.359143"/>
    <n v="0.03"/>
    <n v="128.71188000000001"/>
    <s v="India"/>
    <s v="India"/>
    <x v="1"/>
  </r>
  <r>
    <s v="17-06-2026"/>
    <s v="XYZ Luxury"/>
    <s v="Growify | Shopping Ads | All Product | EOSS"/>
    <s v="PAUSED"/>
    <n v="693.13"/>
    <n v="112"/>
    <n v="6873"/>
    <n v="6.1886609999999997"/>
    <n v="1.6296000000000001E-2"/>
    <n v="100.848247"/>
    <n v="0"/>
    <n v="0"/>
    <s v="India"/>
    <s v="India"/>
    <x v="1"/>
  </r>
  <r>
    <s v="18-06-2026"/>
    <s v="XYZ Luxury"/>
    <s v="Growify | Shopping Ads | All Product | EOSS"/>
    <s v="PAUSED"/>
    <n v="999.99"/>
    <n v="126"/>
    <n v="7505"/>
    <n v="7.9364290000000004"/>
    <n v="1.6788999999999998E-2"/>
    <n v="133.24317099999999"/>
    <n v="1"/>
    <n v="8700"/>
    <s v="India"/>
    <s v="India"/>
    <x v="1"/>
  </r>
  <r>
    <s v="19-06-2026"/>
    <s v="XYZ Luxury"/>
    <s v="Growify | Shopping Ads | All Product | EOSS"/>
    <s v="PAUSED"/>
    <n v="999.83"/>
    <n v="87"/>
    <n v="5233"/>
    <n v="11.492298999999999"/>
    <n v="1.6625000000000001E-2"/>
    <n v="191.062488"/>
    <n v="0"/>
    <n v="0"/>
    <s v="India"/>
    <s v="India"/>
    <x v="1"/>
  </r>
  <r>
    <s v="20-06-2026"/>
    <s v="XYZ Luxury"/>
    <s v="Growify | Shopping Ads | All Product | EOSS"/>
    <s v="PAUSED"/>
    <n v="999.1"/>
    <n v="36"/>
    <n v="1840"/>
    <n v="27.752777999999999"/>
    <n v="1.9564999999999999E-2"/>
    <n v="542.98913000000005"/>
    <n v="0"/>
    <n v="0"/>
    <s v="India"/>
    <s v="India"/>
    <x v="1"/>
  </r>
  <r>
    <d v="2026-01-06T00:00:00"/>
    <s v="XYZ Luxury"/>
    <s v="Growify_XYZ LuxuryP_Search_India-12/12/25"/>
    <s v="ENABLED"/>
    <n v="328.60735899999997"/>
    <n v="25"/>
    <n v="117"/>
    <n v="13.144294"/>
    <n v="0.213675"/>
    <n v="2808.6099060000001"/>
    <n v="0.2"/>
    <n v="1550.5914600000001"/>
    <s v="India"/>
    <s v="India"/>
    <x v="1"/>
  </r>
  <r>
    <d v="2026-02-06T00:00:00"/>
    <s v="XYZ Luxury"/>
    <s v="Growify_XYZ LuxuryP_Search_India-12/12/25"/>
    <s v="ENABLED"/>
    <n v="581.473342"/>
    <n v="44"/>
    <n v="169"/>
    <n v="13.215303"/>
    <n v="0.260355"/>
    <n v="3440.6706629999999"/>
    <n v="0"/>
    <n v="0"/>
    <s v="India"/>
    <s v="India"/>
    <x v="1"/>
  </r>
  <r>
    <d v="2026-03-06T00:00:00"/>
    <s v="XYZ Luxury"/>
    <s v="Growify_XYZ LuxuryP_Search_India-12/12/25"/>
    <s v="ENABLED"/>
    <n v="673.04668400000003"/>
    <n v="63"/>
    <n v="251"/>
    <n v="10.683280999999999"/>
    <n v="0.250996"/>
    <n v="2681.4608920000001"/>
    <n v="0"/>
    <n v="0"/>
    <s v="India"/>
    <s v="India"/>
    <x v="1"/>
  </r>
  <r>
    <d v="2026-04-06T00:00:00"/>
    <s v="XYZ Luxury"/>
    <s v="Growify_XYZ LuxuryP_Search_India-12/12/25"/>
    <s v="ENABLED"/>
    <n v="447.02138100000002"/>
    <n v="51"/>
    <n v="161"/>
    <n v="8.7651249999999994"/>
    <n v="0.31677"/>
    <n v="2776.5303170000002"/>
    <n v="0"/>
    <n v="0"/>
    <s v="India"/>
    <s v="India"/>
    <x v="1"/>
  </r>
  <r>
    <d v="2026-05-06T00:00:00"/>
    <s v="XYZ Luxury"/>
    <s v="Growify_XYZ LuxuryP_Search_India-12/12/25"/>
    <s v="ENABLED"/>
    <n v="865.29730199999995"/>
    <n v="61"/>
    <n v="147"/>
    <n v="14.185202"/>
    <n v="0.414966"/>
    <n v="5886.3762040000001"/>
    <n v="1"/>
    <n v="13270"/>
    <s v="India"/>
    <s v="India"/>
    <x v="1"/>
  </r>
  <r>
    <d v="2026-06-06T00:00:00"/>
    <s v="XYZ Luxury"/>
    <s v="Growify_XYZ LuxuryP_Search_India-12/12/25"/>
    <s v="ENABLED"/>
    <n v="523.00070600000004"/>
    <n v="67"/>
    <n v="144"/>
    <n v="7.8059810000000001"/>
    <n v="0.46527800000000002"/>
    <n v="3631.9493470000002"/>
    <n v="1"/>
    <n v="5610"/>
    <s v="India"/>
    <s v="India"/>
    <x v="1"/>
  </r>
  <r>
    <d v="2026-07-06T00:00:00"/>
    <s v="XYZ Luxury"/>
    <s v="Growify_XYZ LuxuryP_Search_India-12/12/25"/>
    <s v="ENABLED"/>
    <n v="805.75360799999999"/>
    <n v="67"/>
    <n v="143"/>
    <n v="12.026173"/>
    <n v="0.46853099999999998"/>
    <n v="5634.6406150000003"/>
    <n v="0.8"/>
    <n v="6357.6909400000004"/>
    <s v="India"/>
    <s v="India"/>
    <x v="1"/>
  </r>
  <r>
    <d v="2026-08-06T00:00:00"/>
    <s v="XYZ Luxury"/>
    <s v="Growify_XYZ LuxuryP_Search_India-12/12/25"/>
    <s v="ENABLED"/>
    <n v="194.23746299999999"/>
    <n v="44"/>
    <n v="196"/>
    <n v="4.4144880000000004"/>
    <n v="0.22449"/>
    <n v="991.00746400000003"/>
    <n v="0"/>
    <n v="0"/>
    <s v="India"/>
    <s v="India"/>
    <x v="1"/>
  </r>
  <r>
    <d v="2026-09-06T00:00:00"/>
    <s v="XYZ Luxury"/>
    <s v="Growify_XYZ LuxuryP_Search_India-12/12/25"/>
    <s v="ENABLED"/>
    <n v="1234.0446400000001"/>
    <n v="90"/>
    <n v="392"/>
    <n v="13.711607000000001"/>
    <n v="0.22959199999999999"/>
    <n v="3148.0730610000001"/>
    <n v="0"/>
    <n v="0"/>
    <s v="India"/>
    <s v="India"/>
    <x v="1"/>
  </r>
  <r>
    <d v="2026-10-06T00:00:00"/>
    <s v="XYZ Luxury"/>
    <s v="Growify_XYZ LuxuryP_Search_India-12/12/25"/>
    <s v="ENABLED"/>
    <n v="1030.940096"/>
    <n v="45"/>
    <n v="264"/>
    <n v="22.909780000000001"/>
    <n v="0.170455"/>
    <n v="3905.0761210000001"/>
    <n v="0"/>
    <n v="0"/>
    <s v="India"/>
    <s v="India"/>
    <x v="1"/>
  </r>
  <r>
    <d v="2026-11-06T00:00:00"/>
    <s v="XYZ Luxury"/>
    <s v="Growify_XYZ LuxuryP_Search_India-12/12/25"/>
    <s v="ENABLED"/>
    <n v="189.33842799999999"/>
    <n v="53"/>
    <n v="125"/>
    <n v="3.5724230000000001"/>
    <n v="0.42399999999999999"/>
    <n v="1514.7074239999999"/>
    <n v="0"/>
    <n v="0"/>
    <s v="India"/>
    <s v="India"/>
    <x v="1"/>
  </r>
  <r>
    <d v="2026-12-06T00:00:00"/>
    <s v="XYZ Luxury"/>
    <s v="Growify_XYZ LuxuryP_Search_India-12/12/25"/>
    <s v="ENABLED"/>
    <n v="607.93497300000001"/>
    <n v="62"/>
    <n v="146"/>
    <n v="9.8054030000000001"/>
    <n v="0.42465799999999998"/>
    <n v="4163.9381709999998"/>
    <n v="0"/>
    <n v="0"/>
    <s v="India"/>
    <s v="India"/>
    <x v="1"/>
  </r>
  <r>
    <s v="13-06-2026"/>
    <s v="XYZ Luxury"/>
    <s v="Growify_XYZ LuxuryP_Search_India-12/12/25"/>
    <s v="ENABLED"/>
    <n v="163.264253"/>
    <n v="49"/>
    <n v="119"/>
    <n v="3.3319239999999999"/>
    <n v="0.41176499999999999"/>
    <n v="1371.968513"/>
    <n v="1"/>
    <n v="8731.84"/>
    <s v="India"/>
    <s v="India"/>
    <x v="1"/>
  </r>
  <r>
    <s v="14-06-2026"/>
    <s v="XYZ Luxury"/>
    <s v="Growify_XYZ LuxuryP_Search_India-12/12/25"/>
    <s v="ENABLED"/>
    <n v="201.48471799999999"/>
    <n v="52"/>
    <n v="109"/>
    <n v="3.8747060000000002"/>
    <n v="0.47706399999999999"/>
    <n v="1848.483651"/>
    <n v="1"/>
    <n v="16570"/>
    <s v="India"/>
    <s v="India"/>
    <x v="1"/>
  </r>
  <r>
    <s v="15-06-2026"/>
    <s v="XYZ Luxury"/>
    <s v="Growify_XYZ LuxuryP_Search_India-12/12/25"/>
    <s v="ENABLED"/>
    <n v="562.42779900000005"/>
    <n v="61"/>
    <n v="125"/>
    <n v="9.2201280000000008"/>
    <n v="0.48799999999999999"/>
    <n v="4499.4223920000004"/>
    <n v="1"/>
    <n v="55440"/>
    <s v="India"/>
    <s v="India"/>
    <x v="1"/>
  </r>
  <r>
    <s v="16-06-2026"/>
    <s v="XYZ Luxury"/>
    <s v="Growify_XYZ LuxuryP_Search_India-12/12/25"/>
    <s v="ENABLED"/>
    <n v="663.00846300000001"/>
    <n v="84"/>
    <n v="143"/>
    <n v="7.8929580000000001"/>
    <n v="0.58741299999999996"/>
    <n v="4636.422818"/>
    <n v="0"/>
    <n v="0"/>
    <s v="India"/>
    <s v="India"/>
    <x v="1"/>
  </r>
  <r>
    <s v="17-06-2026"/>
    <s v="XYZ Luxury"/>
    <s v="Growify_XYZ LuxuryP_Search_India-12/12/25"/>
    <s v="ENABLED"/>
    <n v="616.92819799999995"/>
    <n v="90"/>
    <n v="194"/>
    <n v="6.8547580000000004"/>
    <n v="0.463918"/>
    <n v="3180.0422579999999"/>
    <n v="1"/>
    <n v="9700"/>
    <s v="India"/>
    <s v="India"/>
    <x v="1"/>
  </r>
  <r>
    <s v="18-06-2026"/>
    <s v="XYZ Luxury"/>
    <s v="Growify_XYZ LuxuryP_Search_India-12/12/25"/>
    <s v="ENABLED"/>
    <n v="331.87531899999999"/>
    <n v="69"/>
    <n v="179"/>
    <n v="4.809787"/>
    <n v="0.38547500000000001"/>
    <n v="1854.0520610000001"/>
    <n v="0"/>
    <n v="0"/>
    <s v="India"/>
    <s v="India"/>
    <x v="1"/>
  </r>
  <r>
    <s v="19-06-2026"/>
    <s v="XYZ Luxury"/>
    <s v="Growify_XYZ LuxuryP_Search_India-12/12/25"/>
    <s v="ENABLED"/>
    <n v="317.43264099999999"/>
    <n v="69"/>
    <n v="196"/>
    <n v="4.600473"/>
    <n v="0.35204099999999999"/>
    <n v="1619.5542909999999"/>
    <n v="0.4"/>
    <n v="1320.2286899999999"/>
    <s v="India"/>
    <s v="India"/>
    <x v="1"/>
  </r>
  <r>
    <s v="20-06-2026"/>
    <s v="XYZ Luxury"/>
    <s v="Growify_XYZ LuxuryP_Search_India-12/12/25"/>
    <s v="ENABLED"/>
    <n v="590.37273000000005"/>
    <n v="76"/>
    <n v="184"/>
    <n v="7.7680619999999996"/>
    <n v="0.41304299999999999"/>
    <n v="3208.547446"/>
    <n v="0"/>
    <n v="0"/>
    <s v="India"/>
    <s v="India"/>
    <x v="1"/>
  </r>
  <r>
    <s v="21-06-2026"/>
    <s v="XYZ Luxury"/>
    <s v="Growify_XYZ LuxuryP_Search_India-12/12/25"/>
    <s v="ENABLED"/>
    <n v="314.67282499999999"/>
    <n v="81"/>
    <n v="163"/>
    <n v="3.8848500000000001"/>
    <n v="0.49693300000000001"/>
    <n v="1930.5081290000001"/>
    <n v="0"/>
    <n v="0"/>
    <s v="India"/>
    <s v="India"/>
    <x v="1"/>
  </r>
  <r>
    <s v="22-06-2026"/>
    <s v="XYZ Luxury"/>
    <s v="Growify_XYZ LuxuryP_Search_India-12/12/25"/>
    <s v="ENABLED"/>
    <n v="938.34087499999998"/>
    <n v="97"/>
    <n v="185"/>
    <n v="9.6736170000000001"/>
    <n v="0.52432400000000001"/>
    <n v="5072.112838"/>
    <n v="1"/>
    <n v="2200"/>
    <s v="India"/>
    <s v="India"/>
    <x v="1"/>
  </r>
  <r>
    <s v="23-06-2026"/>
    <s v="XYZ Luxury"/>
    <s v="Growify_XYZ LuxuryP_Search_India-12/12/25"/>
    <s v="ENABLED"/>
    <n v="717.01752799999997"/>
    <n v="88"/>
    <n v="154"/>
    <n v="8.147926"/>
    <n v="0.57142899999999996"/>
    <n v="4655.9579739999999"/>
    <n v="1"/>
    <n v="3400"/>
    <s v="India"/>
    <s v="India"/>
    <x v="1"/>
  </r>
  <r>
    <s v="24-06-2026"/>
    <s v="XYZ Luxury"/>
    <s v="Growify_XYZ LuxuryP_Search_India-12/12/25"/>
    <s v="ENABLED"/>
    <n v="452.41958399999999"/>
    <n v="75"/>
    <n v="141"/>
    <n v="6.0322610000000001"/>
    <n v="0.53191500000000003"/>
    <n v="3208.6495319999999"/>
    <n v="1"/>
    <n v="15250"/>
    <s v="India"/>
    <s v="India"/>
    <x v="1"/>
  </r>
  <r>
    <s v="25-06-2026"/>
    <s v="XYZ Luxury"/>
    <s v="Growify_XYZ LuxuryP_Search_India-12/12/25"/>
    <s v="ENABLED"/>
    <n v="283.043159"/>
    <n v="32"/>
    <n v="52"/>
    <n v="8.8450989999999994"/>
    <n v="0.61538499999999996"/>
    <n v="5443.1376730000002"/>
    <n v="0"/>
    <n v="0"/>
    <s v="India"/>
    <s v="India"/>
    <x v="1"/>
  </r>
  <r>
    <s v="26-06-2026"/>
    <s v="XYZ Luxury"/>
    <s v="Growify_XYZ LuxuryP_Search_India-12/12/25"/>
    <s v="ENABLED"/>
    <n v="472.168995"/>
    <n v="88"/>
    <n v="156"/>
    <n v="5.3655569999999999"/>
    <n v="0.56410300000000002"/>
    <n v="3026.7243269999999"/>
    <n v="0"/>
    <n v="0"/>
    <s v="India"/>
    <s v="India"/>
    <x v="1"/>
  </r>
  <r>
    <s v="27-06-2026"/>
    <s v="XYZ Luxury"/>
    <s v="Growify_XYZ LuxuryP_Search_India-12/12/25"/>
    <s v="ENABLED"/>
    <n v="797.44604100000004"/>
    <n v="111"/>
    <n v="172"/>
    <n v="7.1841989999999996"/>
    <n v="0.64534899999999995"/>
    <n v="4636.3141919999998"/>
    <n v="2"/>
    <n v="24797.95"/>
    <s v="India"/>
    <s v="India"/>
    <x v="1"/>
  </r>
  <r>
    <s v="28-06-2026"/>
    <s v="XYZ Luxury"/>
    <s v="Growify_XYZ LuxuryP_Search_India-12/12/25"/>
    <s v="ENABLED"/>
    <n v="528.63081799999998"/>
    <n v="81"/>
    <n v="159"/>
    <n v="6.5263059999999999"/>
    <n v="0.50943400000000005"/>
    <n v="3324.7221260000001"/>
    <n v="1"/>
    <n v="27790"/>
    <s v="India"/>
    <s v="India"/>
    <x v="1"/>
  </r>
  <r>
    <s v="29-06-2026"/>
    <s v="XYZ Luxury"/>
    <s v="Growify_XYZ LuxuryP_Search_India-12/12/25"/>
    <s v="ENABLED"/>
    <n v="434.209475"/>
    <n v="95"/>
    <n v="161"/>
    <n v="4.5706259999999999"/>
    <n v="0.59006199999999998"/>
    <n v="2696.9532610000001"/>
    <n v="1"/>
    <n v="64090"/>
    <s v="India"/>
    <s v="India"/>
    <x v="1"/>
  </r>
  <r>
    <s v="30-06-2026"/>
    <s v="XYZ Luxury"/>
    <s v="Growify_XYZ LuxuryP_Search_India-12/12/25"/>
    <s v="ENABLED"/>
    <n v="498.399497"/>
    <n v="75"/>
    <n v="161"/>
    <n v="6.645327"/>
    <n v="0.465839"/>
    <n v="3095.64905"/>
    <n v="1"/>
    <n v="21190.03052"/>
    <s v="India"/>
    <s v="India"/>
    <x v="1"/>
  </r>
  <r>
    <d v="2026-01-06T00:00:00"/>
    <s v="XYZ Luxury"/>
    <s v="Growify_P.max_HP_EOSS_Ind"/>
    <s v="ENABLED"/>
    <n v="1040.059"/>
    <n v="103"/>
    <n v="6239"/>
    <n v="10.097659999999999"/>
    <n v="1.6508999999999999E-2"/>
    <n v="166.70283699999999"/>
    <n v="0"/>
    <n v="0"/>
    <s v="India"/>
    <s v="India"/>
    <x v="1"/>
  </r>
  <r>
    <d v="2026-02-06T00:00:00"/>
    <s v="XYZ Luxury"/>
    <s v="Growify_P.max_HP_EOSS_Ind"/>
    <s v="ENABLED"/>
    <n v="2328.9568060000001"/>
    <n v="137"/>
    <n v="12220"/>
    <n v="16.999684999999999"/>
    <n v="1.1211E-2"/>
    <n v="190.58566300000001"/>
    <n v="0"/>
    <n v="0"/>
    <s v="India"/>
    <s v="India"/>
    <x v="1"/>
  </r>
  <r>
    <d v="2026-03-06T00:00:00"/>
    <s v="XYZ Luxury"/>
    <s v="Growify_P.max_HP_EOSS_Ind"/>
    <s v="ENABLED"/>
    <n v="1005.137646"/>
    <n v="97"/>
    <n v="8911"/>
    <n v="10.362244"/>
    <n v="1.0885000000000001E-2"/>
    <n v="112.79740200000001"/>
    <n v="0"/>
    <n v="0"/>
    <s v="India"/>
    <s v="India"/>
    <x v="1"/>
  </r>
  <r>
    <d v="2026-04-06T00:00:00"/>
    <s v="XYZ Luxury"/>
    <s v="Growify_P.max_HP_EOSS_Ind"/>
    <s v="ENABLED"/>
    <n v="1013.982498"/>
    <n v="98"/>
    <n v="9634"/>
    <n v="10.34676"/>
    <n v="1.0172E-2"/>
    <n v="105.250415"/>
    <n v="0"/>
    <n v="0"/>
    <s v="India"/>
    <s v="India"/>
    <x v="1"/>
  </r>
  <r>
    <d v="2026-05-06T00:00:00"/>
    <s v="XYZ Luxury"/>
    <s v="Growify_P.max_HP_EOSS_Ind"/>
    <s v="ENABLED"/>
    <n v="796.72066600000005"/>
    <n v="92"/>
    <n v="7977"/>
    <n v="8.6600070000000002"/>
    <n v="1.1533E-2"/>
    <n v="99.877229999999997"/>
    <n v="0"/>
    <n v="0"/>
    <s v="India"/>
    <s v="India"/>
    <x v="1"/>
  </r>
  <r>
    <d v="2026-06-06T00:00:00"/>
    <s v="XYZ Luxury"/>
    <s v="Growify_P.max_HP_EOSS_Ind"/>
    <s v="ENABLED"/>
    <n v="1350.7181680000001"/>
    <n v="51"/>
    <n v="3750"/>
    <n v="26.484670000000001"/>
    <n v="1.3599999999999999E-2"/>
    <n v="360.19151099999999"/>
    <n v="0"/>
    <n v="0"/>
    <s v="India"/>
    <s v="India"/>
    <x v="1"/>
  </r>
  <r>
    <d v="2026-07-06T00:00:00"/>
    <s v="XYZ Luxury"/>
    <s v="Growify_P.max_HP_EOSS_Ind"/>
    <s v="ENABLED"/>
    <n v="992.305385"/>
    <n v="45"/>
    <n v="5428"/>
    <n v="22.051231000000001"/>
    <n v="8.2900000000000005E-3"/>
    <n v="182.812341"/>
    <n v="0"/>
    <n v="0"/>
    <s v="India"/>
    <s v="India"/>
    <x v="1"/>
  </r>
  <r>
    <d v="2026-08-06T00:00:00"/>
    <s v="XYZ Luxury"/>
    <s v="Growify_P.max_HP_EOSS_Ind"/>
    <s v="ENABLED"/>
    <n v="1016.396257"/>
    <n v="73"/>
    <n v="5939"/>
    <n v="13.923235999999999"/>
    <n v="1.2292000000000001E-2"/>
    <n v="171.13929200000001"/>
    <n v="0"/>
    <n v="0"/>
    <s v="India"/>
    <s v="India"/>
    <x v="1"/>
  </r>
  <r>
    <d v="2026-09-06T00:00:00"/>
    <s v="XYZ Luxury"/>
    <s v="Growify_P.max_HP_EOSS_Ind"/>
    <s v="ENABLED"/>
    <n v="863.474647"/>
    <n v="45"/>
    <n v="3464"/>
    <n v="19.188324999999999"/>
    <n v="1.2991000000000001E-2"/>
    <n v="249.270972"/>
    <n v="0.62"/>
    <n v="3109.1141659999998"/>
    <s v="India"/>
    <s v="India"/>
    <x v="1"/>
  </r>
  <r>
    <d v="2026-10-06T00:00:00"/>
    <s v="XYZ Luxury"/>
    <s v="Growify_P.max_HP_EOSS_Ind"/>
    <s v="ENABLED"/>
    <n v="709.99025300000005"/>
    <n v="37"/>
    <n v="3195"/>
    <n v="19.188925999999999"/>
    <n v="1.1580999999999999E-2"/>
    <n v="222.21917199999999"/>
    <n v="0"/>
    <n v="0"/>
    <s v="India"/>
    <s v="India"/>
    <x v="1"/>
  </r>
  <r>
    <d v="2026-11-06T00:00:00"/>
    <s v="XYZ Luxury"/>
    <s v="Growify_P.max_HP_EOSS_Ind"/>
    <s v="ENABLED"/>
    <n v="99.712712999999994"/>
    <n v="12"/>
    <n v="520"/>
    <n v="8.309393"/>
    <n v="2.3077E-2"/>
    <n v="191.75521699999999"/>
    <n v="0"/>
    <n v="0"/>
    <s v="India"/>
    <s v="India"/>
    <x v="1"/>
  </r>
  <r>
    <d v="2026-12-06T00:00:00"/>
    <s v="XYZ Luxury"/>
    <s v="Growify_P.max_HP_EOSS_Ind"/>
    <s v="ENABLED"/>
    <n v="1302.2288579999999"/>
    <n v="112"/>
    <n v="6527"/>
    <n v="11.627043"/>
    <n v="1.7159000000000001E-2"/>
    <n v="199.51415"/>
    <n v="2.4700000000000002"/>
    <n v="9974.6524000000009"/>
    <s v="India"/>
    <s v="India"/>
    <x v="1"/>
  </r>
  <r>
    <s v="13-06-2026"/>
    <s v="XYZ Luxury"/>
    <s v="Growify_P.max_HP_EOSS_Ind"/>
    <s v="ENABLED"/>
    <n v="815.186691"/>
    <n v="101"/>
    <n v="6553"/>
    <n v="8.0711549999999992"/>
    <n v="1.5413E-2"/>
    <n v="124.399007"/>
    <n v="0"/>
    <n v="0"/>
    <s v="India"/>
    <s v="India"/>
    <x v="1"/>
  </r>
  <r>
    <s v="14-06-2026"/>
    <s v="XYZ Luxury"/>
    <s v="Growify_P.max_HP_EOSS_Ind"/>
    <s v="ENABLED"/>
    <n v="649.001082"/>
    <n v="64"/>
    <n v="4227"/>
    <n v="10.140642"/>
    <n v="1.5141E-2"/>
    <n v="153.53704300000001"/>
    <n v="0"/>
    <n v="0"/>
    <s v="India"/>
    <s v="India"/>
    <x v="1"/>
  </r>
  <r>
    <s v="15-06-2026"/>
    <s v="XYZ Luxury"/>
    <s v="Growify_P.max_HP_EOSS_Ind"/>
    <s v="ENABLED"/>
    <n v="818.24933099999998"/>
    <n v="97"/>
    <n v="5569"/>
    <n v="8.4355600000000006"/>
    <n v="1.7417999999999999E-2"/>
    <n v="146.92931100000001"/>
    <n v="0.75"/>
    <n v="24502.107960000001"/>
    <s v="India"/>
    <s v="India"/>
    <x v="1"/>
  </r>
  <r>
    <s v="16-06-2026"/>
    <s v="XYZ Luxury"/>
    <s v="Growify_P.max_HP_EOSS_Ind"/>
    <s v="ENABLED"/>
    <n v="432.94489700000003"/>
    <n v="64"/>
    <n v="6240"/>
    <n v="6.7647640000000004"/>
    <n v="1.0255999999999999E-2"/>
    <n v="69.382194999999996"/>
    <n v="0.25"/>
    <n v="8167.6633499999998"/>
    <s v="India"/>
    <s v="India"/>
    <x v="1"/>
  </r>
  <r>
    <s v="17-06-2026"/>
    <s v="XYZ Luxury"/>
    <s v="Growify_P.max_HP_EOSS_Ind"/>
    <s v="ENABLED"/>
    <n v="847.59072900000001"/>
    <n v="95"/>
    <n v="6970"/>
    <n v="8.9220079999999999"/>
    <n v="1.363E-2"/>
    <n v="121.605557"/>
    <n v="0"/>
    <n v="0"/>
    <s v="India"/>
    <s v="India"/>
    <x v="1"/>
  </r>
  <r>
    <s v="18-06-2026"/>
    <s v="XYZ Luxury"/>
    <s v="Growify_P.max_HP_EOSS_Ind"/>
    <s v="ENABLED"/>
    <n v="563.60960399999999"/>
    <n v="66"/>
    <n v="5252"/>
    <n v="8.5395389999999995"/>
    <n v="1.2567E-2"/>
    <n v="107.313329"/>
    <n v="0.01"/>
    <n v="53.709479999999999"/>
    <s v="India"/>
    <s v="India"/>
    <x v="1"/>
  </r>
  <r>
    <s v="19-06-2026"/>
    <s v="XYZ Luxury"/>
    <s v="Growify_P.max_HP_EOSS_Ind"/>
    <s v="ENABLED"/>
    <n v="709.92426499999999"/>
    <n v="108"/>
    <n v="8180"/>
    <n v="6.5733730000000001"/>
    <n v="1.3202999999999999E-2"/>
    <n v="86.787807000000001"/>
    <n v="0"/>
    <n v="0"/>
    <s v="India"/>
    <s v="India"/>
    <x v="1"/>
  </r>
  <r>
    <s v="20-06-2026"/>
    <s v="XYZ Luxury"/>
    <s v="Growify_P.max_HP_EOSS_Ind"/>
    <s v="ENABLED"/>
    <n v="982.47018800000001"/>
    <n v="126"/>
    <n v="7472"/>
    <n v="7.7973819999999998"/>
    <n v="1.6863E-2"/>
    <n v="131.48690999999999"/>
    <n v="0"/>
    <n v="0"/>
    <s v="India"/>
    <s v="India"/>
    <x v="1"/>
  </r>
  <r>
    <s v="21-06-2026"/>
    <s v="XYZ Luxury"/>
    <s v="Growify_P.max_HP_EOSS_Ind"/>
    <s v="ENABLED"/>
    <n v="706.94181600000002"/>
    <n v="133"/>
    <n v="7227"/>
    <n v="5.3153519999999999"/>
    <n v="1.8402999999999999E-2"/>
    <n v="97.819540000000003"/>
    <n v="2"/>
    <n v="11296.6"/>
    <s v="India"/>
    <s v="India"/>
    <x v="1"/>
  </r>
  <r>
    <s v="22-06-2026"/>
    <s v="XYZ Luxury"/>
    <s v="Growify_P.max_HP_EOSS_Ind"/>
    <s v="ENABLED"/>
    <n v="668.61405500000001"/>
    <n v="106"/>
    <n v="5594"/>
    <n v="6.3076800000000004"/>
    <n v="1.8949000000000001E-2"/>
    <n v="119.523428"/>
    <n v="0"/>
    <n v="0"/>
    <s v="India"/>
    <s v="India"/>
    <x v="1"/>
  </r>
  <r>
    <s v="23-06-2026"/>
    <s v="XYZ Luxury"/>
    <s v="Growify_P.max_HP_EOSS_Ind"/>
    <s v="ENABLED"/>
    <n v="616.64785700000004"/>
    <n v="58"/>
    <n v="3441"/>
    <n v="10.63186"/>
    <n v="1.6855999999999999E-2"/>
    <n v="179.20600300000001"/>
    <n v="0"/>
    <n v="0"/>
    <s v="India"/>
    <s v="India"/>
    <x v="1"/>
  </r>
  <r>
    <s v="24-06-2026"/>
    <s v="XYZ Luxury"/>
    <s v="Growify_P.max_HP_EOSS_Ind"/>
    <s v="ENABLED"/>
    <n v="808.21369600000003"/>
    <n v="138"/>
    <n v="7695"/>
    <n v="5.8566209999999996"/>
    <n v="1.7933999999999999E-2"/>
    <n v="105.03102"/>
    <n v="0"/>
    <n v="0"/>
    <s v="India"/>
    <s v="India"/>
    <x v="1"/>
  </r>
  <r>
    <s v="25-06-2026"/>
    <s v="XYZ Luxury"/>
    <s v="Growify_P.max_HP_EOSS_Ind"/>
    <s v="ENABLED"/>
    <n v="184.766505"/>
    <n v="31"/>
    <n v="1685"/>
    <n v="5.96021"/>
    <n v="1.8398000000000001E-2"/>
    <n v="109.653712"/>
    <n v="0"/>
    <n v="0"/>
    <s v="India"/>
    <s v="India"/>
    <x v="1"/>
  </r>
  <r>
    <s v="26-06-2026"/>
    <s v="XYZ Luxury"/>
    <s v="Growify_P.max_HP_EOSS_Ind"/>
    <s v="ENABLED"/>
    <n v="479.99174299999999"/>
    <n v="81"/>
    <n v="4698"/>
    <n v="5.9258240000000004"/>
    <n v="1.7240999999999999E-2"/>
    <n v="102.16937900000001"/>
    <n v="0"/>
    <n v="0"/>
    <s v="India"/>
    <s v="India"/>
    <x v="1"/>
  </r>
  <r>
    <s v="27-06-2026"/>
    <s v="XYZ Luxury"/>
    <s v="Growify_P.max_HP_EOSS_Ind"/>
    <s v="ENABLED"/>
    <n v="1231.935516"/>
    <n v="245"/>
    <n v="12134"/>
    <n v="5.028308"/>
    <n v="2.0191000000000001E-2"/>
    <n v="101.527568"/>
    <n v="1"/>
    <n v="14675"/>
    <s v="India"/>
    <s v="India"/>
    <x v="1"/>
  </r>
  <r>
    <s v="28-06-2026"/>
    <s v="XYZ Luxury"/>
    <s v="Growify_P.max_HP_EOSS_Ind"/>
    <s v="ENABLED"/>
    <n v="494.03149000000002"/>
    <n v="85"/>
    <n v="4370"/>
    <n v="5.8121349999999996"/>
    <n v="1.9451E-2"/>
    <n v="113.050684"/>
    <n v="0"/>
    <n v="0"/>
    <s v="India"/>
    <s v="India"/>
    <x v="1"/>
  </r>
  <r>
    <s v="29-06-2026"/>
    <s v="XYZ Luxury"/>
    <s v="Growify_P.max_HP_EOSS_Ind"/>
    <s v="ENABLED"/>
    <n v="870.80910300000005"/>
    <n v="133"/>
    <n v="8180"/>
    <n v="6.5474370000000004"/>
    <n v="1.6258999999999999E-2"/>
    <n v="106.45588100000001"/>
    <n v="1.94"/>
    <n v="5710.1794399999999"/>
    <s v="India"/>
    <s v="India"/>
    <x v="1"/>
  </r>
  <r>
    <s v="30-06-2026"/>
    <s v="XYZ Luxury"/>
    <s v="Growify_P.max_HP_EOSS_Ind"/>
    <s v="ENABLED"/>
    <n v="708.59084600000006"/>
    <n v="106"/>
    <n v="5548"/>
    <n v="6.6848190000000001"/>
    <n v="1.9106000000000001E-2"/>
    <n v="127.720052"/>
    <n v="0"/>
    <n v="0"/>
    <s v="India"/>
    <s v="India"/>
    <x v="1"/>
  </r>
  <r>
    <s v="20-06-2026"/>
    <s v="XYZ Luxury"/>
    <s v="Growify_Performance Max_Listing_IND"/>
    <s v="ENABLED"/>
    <n v="662.92009900000005"/>
    <n v="154"/>
    <n v="6469"/>
    <n v="4.3046759999999997"/>
    <n v="2.3806000000000001E-2"/>
    <n v="102.47644099999999"/>
    <n v="0"/>
    <n v="0"/>
    <s v="India"/>
    <s v="India"/>
    <x v="1"/>
  </r>
  <r>
    <s v="21-06-2026"/>
    <s v="XYZ Luxury"/>
    <s v="Growify_Performance Max_Listing_IND"/>
    <s v="ENABLED"/>
    <n v="1409.0982140000001"/>
    <n v="215"/>
    <n v="11507"/>
    <n v="6.5539449999999997"/>
    <n v="1.8683999999999999E-2"/>
    <n v="122.455741"/>
    <n v="0"/>
    <n v="0"/>
    <s v="India"/>
    <s v="India"/>
    <x v="1"/>
  </r>
  <r>
    <s v="22-06-2026"/>
    <s v="XYZ Luxury"/>
    <s v="Growify_Performance Max_Listing_IND"/>
    <s v="ENABLED"/>
    <n v="1027.385589"/>
    <n v="159"/>
    <n v="7461"/>
    <n v="6.4615450000000001"/>
    <n v="2.1311E-2"/>
    <n v="137.70078899999999"/>
    <n v="0"/>
    <n v="0"/>
    <s v="India"/>
    <s v="India"/>
    <x v="1"/>
  </r>
  <r>
    <s v="23-06-2026"/>
    <s v="XYZ Luxury"/>
    <s v="Growify_Performance Max_Listing_IND"/>
    <s v="ENABLED"/>
    <n v="1006.0375739999999"/>
    <n v="252"/>
    <n v="12025"/>
    <n v="3.992213"/>
    <n v="2.0955999999999999E-2"/>
    <n v="83.662167999999994"/>
    <n v="1"/>
    <n v="2805"/>
    <s v="India"/>
    <s v="India"/>
    <x v="1"/>
  </r>
  <r>
    <s v="24-06-2026"/>
    <s v="XYZ Luxury"/>
    <s v="Growify_Performance Max_Listing_IND"/>
    <s v="ENABLED"/>
    <n v="968.26027799999997"/>
    <n v="230"/>
    <n v="11866"/>
    <n v="4.2098269999999998"/>
    <n v="1.9383000000000001E-2"/>
    <n v="81.599551000000005"/>
    <n v="0"/>
    <n v="0"/>
    <s v="India"/>
    <s v="India"/>
    <x v="1"/>
  </r>
  <r>
    <s v="25-06-2026"/>
    <s v="XYZ Luxury"/>
    <s v="Growify_Performance Max_Listing_IND"/>
    <s v="ENABLED"/>
    <n v="448.51519200000001"/>
    <n v="54"/>
    <n v="2504"/>
    <n v="8.3058370000000004"/>
    <n v="2.1565000000000001E-2"/>
    <n v="179.11948599999999"/>
    <n v="0"/>
    <n v="0"/>
    <s v="India"/>
    <s v="India"/>
    <x v="1"/>
  </r>
  <r>
    <s v="26-06-2026"/>
    <s v="XYZ Luxury"/>
    <s v="Growify_Performance Max_Listing_IND"/>
    <s v="ENABLED"/>
    <n v="864.65680499999996"/>
    <n v="155"/>
    <n v="9031"/>
    <n v="5.5784310000000001"/>
    <n v="1.7163000000000001E-2"/>
    <n v="95.743195999999998"/>
    <n v="0"/>
    <n v="0"/>
    <s v="India"/>
    <s v="India"/>
    <x v="1"/>
  </r>
  <r>
    <s v="27-06-2026"/>
    <s v="XYZ Luxury"/>
    <s v="Growify_Performance Max_Listing_IND"/>
    <s v="ENABLED"/>
    <n v="1665.3802250000001"/>
    <n v="235"/>
    <n v="11692"/>
    <n v="7.0867240000000002"/>
    <n v="2.0098999999999999E-2"/>
    <n v="142.43758299999999"/>
    <n v="0"/>
    <n v="0"/>
    <s v="India"/>
    <s v="India"/>
    <x v="1"/>
  </r>
  <r>
    <s v="28-06-2026"/>
    <s v="XYZ Luxury"/>
    <s v="Growify_Performance Max_Listing_IND"/>
    <s v="ENABLED"/>
    <n v="920.52107799999999"/>
    <n v="235"/>
    <n v="12367"/>
    <n v="3.9171109999999998"/>
    <n v="1.9002000000000002E-2"/>
    <n v="74.433660000000003"/>
    <n v="1.33"/>
    <n v="3472.85808"/>
    <s v="India"/>
    <s v="India"/>
    <x v="1"/>
  </r>
  <r>
    <s v="29-06-2026"/>
    <s v="XYZ Luxury"/>
    <s v="Growify_Performance Max_Listing_IND"/>
    <s v="ENABLED"/>
    <n v="953.61861199999998"/>
    <n v="202"/>
    <n v="12258"/>
    <n v="4.7208839999999999"/>
    <n v="1.6479000000000001E-2"/>
    <n v="77.795612000000006"/>
    <n v="0"/>
    <n v="0"/>
    <s v="India"/>
    <s v="India"/>
    <x v="1"/>
  </r>
  <r>
    <s v="30-06-2026"/>
    <s v="XYZ Luxury"/>
    <s v="Growify_Performance Max_Listing_IND"/>
    <s v="ENABLED"/>
    <n v="1014.357696"/>
    <n v="249"/>
    <n v="12876"/>
    <n v="4.0737259999999997"/>
    <n v="1.9338000000000001E-2"/>
    <n v="78.778944999999993"/>
    <n v="0"/>
    <n v="0"/>
    <s v="India"/>
    <s v="India"/>
    <x v="1"/>
  </r>
  <r>
    <s v="20-06-2026"/>
    <s v="XYZ Luxury"/>
    <s v="Growify_XYZ LuxuryP_Search_INT-5/21/26"/>
    <s v="ENABLED"/>
    <n v="1.25"/>
    <n v="1"/>
    <n v="14"/>
    <n v="1.25"/>
    <n v="7.1429000000000006E-2"/>
    <n v="89.285713999999999"/>
    <n v="0"/>
    <n v="0"/>
    <s v="Rest of the World"/>
    <s v="United Kingdom"/>
    <x v="4"/>
  </r>
  <r>
    <s v="21-06-2026"/>
    <s v="XYZ Luxury"/>
    <s v="Growify_XYZ LuxuryP_Search_INT-5/21/26"/>
    <s v="ENABLED"/>
    <n v="2.84"/>
    <n v="3"/>
    <n v="6"/>
    <n v="0.94666700000000004"/>
    <n v="0.5"/>
    <n v="473.33333299999998"/>
    <n v="0"/>
    <n v="0"/>
    <s v="Rest of the World"/>
    <s v="United Kingdom"/>
    <x v="4"/>
  </r>
  <r>
    <s v="22-06-2026"/>
    <s v="XYZ Luxury"/>
    <s v="Growify_XYZ LuxuryP_Search_INT-5/21/26"/>
    <s v="ENABLED"/>
    <n v="23.73"/>
    <n v="2"/>
    <n v="8"/>
    <n v="11.865"/>
    <n v="0.25"/>
    <n v="2966.25"/>
    <n v="0"/>
    <n v="0"/>
    <s v="Rest of the World"/>
    <s v="United Kingdom"/>
    <x v="4"/>
  </r>
  <r>
    <s v="23-06-2026"/>
    <s v="XYZ Luxury"/>
    <s v="Growify_XYZ LuxuryP_Search_INT-5/21/26"/>
    <s v="ENABLED"/>
    <n v="17.54"/>
    <n v="1"/>
    <n v="4"/>
    <n v="17.54"/>
    <n v="0.25"/>
    <n v="4385"/>
    <n v="0"/>
    <n v="0"/>
    <s v="Rest of the World"/>
    <s v="United Kingdom"/>
    <x v="4"/>
  </r>
  <r>
    <s v="24-06-2026"/>
    <s v="XYZ Luxury"/>
    <s v="Growify_XYZ LuxuryP_Search_INT-5/21/26"/>
    <s v="ENABLED"/>
    <n v="1292.9983810000001"/>
    <n v="5"/>
    <n v="19"/>
    <n v="258.59967599999999"/>
    <n v="0.263158"/>
    <n v="68052.546369999996"/>
    <n v="0"/>
    <n v="0"/>
    <s v="Rest of the World"/>
    <s v="United Kingdom"/>
    <x v="4"/>
  </r>
  <r>
    <s v="25-06-2026"/>
    <s v="XYZ Luxury"/>
    <s v="Growify_XYZ LuxuryP_Search_INT-5/21/26"/>
    <s v="ENABLED"/>
    <n v="2.5"/>
    <n v="2"/>
    <n v="4"/>
    <n v="1.25"/>
    <n v="0.5"/>
    <n v="625"/>
    <n v="0"/>
    <n v="0"/>
    <s v="Rest of the World"/>
    <s v="United Kingdom"/>
    <x v="4"/>
  </r>
  <r>
    <s v="26-06-2026"/>
    <s v="XYZ Luxury"/>
    <s v="Growify_XYZ LuxuryP_Search_INT-5/21/26"/>
    <s v="ENABLED"/>
    <n v="228.22"/>
    <n v="2"/>
    <n v="6"/>
    <n v="114.11"/>
    <n v="0.33333299999999999"/>
    <n v="38036.666669999999"/>
    <n v="0"/>
    <n v="0"/>
    <s v="Rest of the World"/>
    <s v="United Kingdom"/>
    <x v="4"/>
  </r>
  <r>
    <s v="28-06-2026"/>
    <s v="XYZ Luxury"/>
    <s v="Growify_XYZ LuxuryP_Search_INT-5/21/26"/>
    <s v="ENABLED"/>
    <n v="163.26"/>
    <n v="3"/>
    <n v="6"/>
    <n v="54.42"/>
    <n v="0.5"/>
    <n v="27210"/>
    <n v="0"/>
    <n v="0"/>
    <s v="Rest of the World"/>
    <s v="United Kingdom"/>
    <x v="4"/>
  </r>
  <r>
    <s v="29-06-2026"/>
    <s v="XYZ Luxury"/>
    <s v="Growify_XYZ LuxuryP_Search_INT-5/21/26"/>
    <s v="ENABLED"/>
    <n v="67.17"/>
    <n v="2"/>
    <n v="7"/>
    <n v="33.585000000000001"/>
    <n v="0.28571400000000002"/>
    <n v="9595.7142860000004"/>
    <n v="0"/>
    <n v="0"/>
    <s v="Rest of the World"/>
    <s v="United Kingdom"/>
    <x v="4"/>
  </r>
  <r>
    <s v="30-06-2026"/>
    <s v="XYZ Luxury"/>
    <s v="Growify_XYZ LuxuryP_Search_INT-5/21/26"/>
    <s v="ENABLED"/>
    <n v="1.26"/>
    <n v="1"/>
    <n v="5"/>
    <n v="1.26"/>
    <n v="0.2"/>
    <n v="252"/>
    <n v="0"/>
    <n v="0"/>
    <s v="Rest of the World"/>
    <s v="United Kingdom"/>
    <x v="4"/>
  </r>
  <r>
    <s v="20-06-2026"/>
    <s v="XYZ Luxury"/>
    <s v="Growify_Performance Max_Listing_INTL"/>
    <s v="ENABLED"/>
    <n v="4.8099999999999996"/>
    <n v="1"/>
    <n v="74"/>
    <n v="4.8099999999999996"/>
    <n v="1.3514E-2"/>
    <n v="65"/>
    <n v="0"/>
    <n v="0"/>
    <s v="Rest of the World"/>
    <s v="United Kingdom"/>
    <x v="4"/>
  </r>
  <r>
    <s v="21-06-2026"/>
    <s v="XYZ Luxury"/>
    <s v="Growify_Performance Max_Listing_INTL"/>
    <s v="ENABLED"/>
    <n v="44.53"/>
    <n v="4"/>
    <n v="382"/>
    <n v="11.1325"/>
    <n v="1.0470999999999999E-2"/>
    <n v="116.57068099999999"/>
    <n v="0"/>
    <n v="0"/>
    <s v="Rest of the World"/>
    <s v="United Kingdom"/>
    <x v="4"/>
  </r>
  <r>
    <s v="22-06-2026"/>
    <s v="XYZ Luxury"/>
    <s v="Growify_Performance Max_Listing_INTL"/>
    <s v="ENABLED"/>
    <n v="180.89191199999999"/>
    <n v="6"/>
    <n v="370"/>
    <n v="30.148651999999998"/>
    <n v="1.6216000000000001E-2"/>
    <n v="488.89705900000001"/>
    <n v="0"/>
    <n v="0"/>
    <s v="Rest of the World"/>
    <s v="United Kingdom"/>
    <x v="4"/>
  </r>
  <r>
    <s v="23-06-2026"/>
    <s v="XYZ Luxury"/>
    <s v="Growify_Performance Max_Listing_INTL"/>
    <s v="ENABLED"/>
    <n v="247.1936"/>
    <n v="6"/>
    <n v="393"/>
    <n v="41.198932999999997"/>
    <n v="1.5266999999999999E-2"/>
    <n v="628.99134900000001"/>
    <n v="0"/>
    <n v="0"/>
    <s v="Rest of the World"/>
    <s v="United Kingdom"/>
    <x v="4"/>
  </r>
  <r>
    <s v="24-06-2026"/>
    <s v="XYZ Luxury"/>
    <s v="Growify_Performance Max_Listing_INTL"/>
    <s v="ENABLED"/>
    <n v="97.31"/>
    <n v="2"/>
    <n v="234"/>
    <n v="48.655000000000001"/>
    <n v="8.5470000000000008E-3"/>
    <n v="415.85470099999998"/>
    <n v="0"/>
    <n v="0"/>
    <s v="Rest of the World"/>
    <s v="United Kingdom"/>
    <x v="4"/>
  </r>
  <r>
    <s v="26-06-2026"/>
    <s v="XYZ Luxury"/>
    <s v="Growify_Performance Max_Listing_INTL"/>
    <s v="ENABLED"/>
    <n v="41.53"/>
    <n v="1"/>
    <n v="164"/>
    <n v="41.53"/>
    <n v="6.0980000000000001E-3"/>
    <n v="253.231707"/>
    <n v="0"/>
    <n v="0"/>
    <s v="Rest of the World"/>
    <s v="United Kingdom"/>
    <x v="4"/>
  </r>
  <r>
    <s v="27-06-2026"/>
    <s v="XYZ Luxury"/>
    <s v="Growify_Performance Max_Listing_INTL"/>
    <s v="ENABLED"/>
    <n v="31.124379999999999"/>
    <n v="2"/>
    <n v="444"/>
    <n v="15.562189999999999"/>
    <n v="4.5050000000000003E-3"/>
    <n v="70.099954999999994"/>
    <n v="0"/>
    <n v="0"/>
    <s v="Rest of the World"/>
    <s v="United Kingdom"/>
    <x v="4"/>
  </r>
  <r>
    <s v="28-06-2026"/>
    <s v="XYZ Luxury"/>
    <s v="Growify_Performance Max_Listing_INTL"/>
    <s v="ENABLED"/>
    <n v="53.940550000000002"/>
    <n v="4"/>
    <n v="365"/>
    <n v="13.485137999999999"/>
    <n v="1.0959E-2"/>
    <n v="147.782329"/>
    <n v="0"/>
    <n v="0"/>
    <s v="Rest of the World"/>
    <s v="United Kingdom"/>
    <x v="4"/>
  </r>
  <r>
    <s v="29-06-2026"/>
    <s v="XYZ Luxury"/>
    <s v="Growify_Performance Max_Listing_INTL"/>
    <s v="ENABLED"/>
    <n v="170.360117"/>
    <n v="10"/>
    <n v="688"/>
    <n v="17.036011999999999"/>
    <n v="1.4534999999999999E-2"/>
    <n v="247.61644899999999"/>
    <n v="0"/>
    <n v="0"/>
    <s v="Rest of the World"/>
    <s v="United Kingdom"/>
    <x v="4"/>
  </r>
  <r>
    <s v="30-06-2026"/>
    <s v="XYZ Luxury"/>
    <s v="Growify_Performance Max_Listing_INTL"/>
    <s v="ENABLED"/>
    <n v="90.35"/>
    <n v="7"/>
    <n v="606"/>
    <n v="12.907143"/>
    <n v="1.1551000000000001E-2"/>
    <n v="149.092409"/>
    <n v="0"/>
    <n v="0"/>
    <s v="Rest of the World"/>
    <s v="United Kingdom"/>
    <x v="4"/>
  </r>
  <r>
    <d v="2026-01-06T00:00:00"/>
    <s v="XYZ Luxury"/>
    <s v="Growify_XYZ LuxuryP_Search_INT-5/21/26"/>
    <s v="ENABLED"/>
    <n v="4.9008649999999996"/>
    <n v="4"/>
    <n v="11"/>
    <n v="1.2252160000000001"/>
    <n v="0.36363600000000001"/>
    <n v="445.53318200000001"/>
    <n v="0"/>
    <n v="0"/>
    <s v="USA"/>
    <s v="United States"/>
    <x v="2"/>
  </r>
  <r>
    <d v="2026-02-06T00:00:00"/>
    <s v="XYZ Luxury"/>
    <s v="Growify_XYZ LuxuryP_Search_INT-5/21/26"/>
    <s v="ENABLED"/>
    <n v="54.748553000000001"/>
    <n v="3"/>
    <n v="6"/>
    <n v="18.249517999999998"/>
    <n v="0.5"/>
    <n v="9124.7588329999999"/>
    <n v="0"/>
    <n v="0"/>
    <s v="USA"/>
    <s v="United States"/>
    <x v="2"/>
  </r>
  <r>
    <d v="2026-03-06T00:00:00"/>
    <s v="XYZ Luxury"/>
    <s v="Growify_XYZ LuxuryP_Search_INT-5/21/26"/>
    <s v="ENABLED"/>
    <n v="526.25173900000004"/>
    <n v="10"/>
    <n v="22"/>
    <n v="52.625174000000001"/>
    <n v="0.45454499999999998"/>
    <n v="23920.533589999999"/>
    <n v="0"/>
    <n v="0"/>
    <s v="USA"/>
    <s v="United States"/>
    <x v="2"/>
  </r>
  <r>
    <d v="2026-04-06T00:00:00"/>
    <s v="XYZ Luxury"/>
    <s v="Growify_XYZ LuxuryP_Search_INT-5/21/26"/>
    <s v="ENABLED"/>
    <n v="69.545578000000006"/>
    <n v="8"/>
    <n v="23"/>
    <n v="8.6931969999999996"/>
    <n v="0.34782600000000002"/>
    <n v="3023.7207830000002"/>
    <n v="0"/>
    <n v="0"/>
    <s v="USA"/>
    <s v="United States"/>
    <x v="2"/>
  </r>
  <r>
    <d v="2026-05-06T00:00:00"/>
    <s v="XYZ Luxury"/>
    <s v="Growify_XYZ LuxuryP_Search_INT-5/21/26"/>
    <s v="ENABLED"/>
    <n v="58.770800999999999"/>
    <n v="8"/>
    <n v="20"/>
    <n v="7.3463500000000002"/>
    <n v="0.4"/>
    <n v="2938.5400500000001"/>
    <n v="0"/>
    <n v="0"/>
    <s v="USA"/>
    <s v="United States"/>
    <x v="2"/>
  </r>
  <r>
    <d v="2026-06-06T00:00:00"/>
    <s v="XYZ Luxury"/>
    <s v="Growify_XYZ LuxuryP_Search_INT-5/21/26"/>
    <s v="ENABLED"/>
    <n v="165.200739"/>
    <n v="7"/>
    <n v="19"/>
    <n v="23.600106"/>
    <n v="0.368421"/>
    <n v="8694.7757369999999"/>
    <n v="0"/>
    <n v="0"/>
    <s v="USA"/>
    <s v="United States"/>
    <x v="2"/>
  </r>
  <r>
    <d v="2026-07-06T00:00:00"/>
    <s v="XYZ Luxury"/>
    <s v="Growify_XYZ LuxuryP_Search_INT-5/21/26"/>
    <s v="ENABLED"/>
    <n v="581.04999999999995"/>
    <n v="1"/>
    <n v="5"/>
    <n v="581.04999999999995"/>
    <n v="0.2"/>
    <n v="116210"/>
    <n v="0.5"/>
    <n v="4969.8"/>
    <s v="USA"/>
    <s v="United States"/>
    <x v="2"/>
  </r>
  <r>
    <d v="2026-08-06T00:00:00"/>
    <s v="XYZ Luxury"/>
    <s v="Growify_XYZ LuxuryP_Search_INT-5/21/26"/>
    <s v="ENABLED"/>
    <n v="1156.957257"/>
    <n v="10"/>
    <n v="24"/>
    <n v="115.69572599999999"/>
    <n v="0.41666700000000001"/>
    <n v="48206.552380000001"/>
    <n v="0.5"/>
    <n v="4969.8"/>
    <s v="USA"/>
    <s v="United States"/>
    <x v="2"/>
  </r>
  <r>
    <d v="2026-09-06T00:00:00"/>
    <s v="XYZ Luxury"/>
    <s v="Growify_XYZ LuxuryP_Search_INT-5/21/26"/>
    <s v="ENABLED"/>
    <n v="376.40184399999998"/>
    <n v="7"/>
    <n v="18"/>
    <n v="53.771692000000002"/>
    <n v="0.38888899999999998"/>
    <n v="20911.21356"/>
    <n v="1"/>
    <n v="41052"/>
    <s v="USA"/>
    <s v="United States"/>
    <x v="2"/>
  </r>
  <r>
    <d v="2026-10-06T00:00:00"/>
    <s v="XYZ Luxury"/>
    <s v="Growify_XYZ LuxuryP_Search_INT-5/21/26"/>
    <s v="ENABLED"/>
    <n v="277.27955400000002"/>
    <n v="9"/>
    <n v="20"/>
    <n v="30.808838999999999"/>
    <n v="0.45"/>
    <n v="13863.977699999999"/>
    <n v="0"/>
    <n v="0"/>
    <s v="USA"/>
    <s v="United States"/>
    <x v="2"/>
  </r>
  <r>
    <d v="2026-11-06T00:00:00"/>
    <s v="XYZ Luxury"/>
    <s v="Growify_XYZ LuxuryP_Search_INT-5/21/26"/>
    <s v="ENABLED"/>
    <n v="132.555126"/>
    <n v="5"/>
    <n v="12"/>
    <n v="26.511025"/>
    <n v="0.41666700000000001"/>
    <n v="11046.2605"/>
    <n v="1"/>
    <n v="45408"/>
    <s v="USA"/>
    <s v="United States"/>
    <x v="2"/>
  </r>
  <r>
    <d v="2026-12-06T00:00:00"/>
    <s v="XYZ Luxury"/>
    <s v="Growify_XYZ LuxuryP_Search_INT-5/21/26"/>
    <s v="ENABLED"/>
    <n v="46.452562999999998"/>
    <n v="5"/>
    <n v="14"/>
    <n v="9.2905130000000007"/>
    <n v="0.35714299999999999"/>
    <n v="3318.0402140000001"/>
    <n v="0"/>
    <n v="0"/>
    <s v="USA"/>
    <s v="United States"/>
    <x v="2"/>
  </r>
  <r>
    <s v="13-06-2026"/>
    <s v="XYZ Luxury"/>
    <s v="Growify_XYZ LuxuryP_Search_INT-5/21/26"/>
    <s v="ENABLED"/>
    <n v="440.891277"/>
    <n v="7"/>
    <n v="19"/>
    <n v="62.984468"/>
    <n v="0.368421"/>
    <n v="23204.804049999999"/>
    <n v="0"/>
    <n v="0"/>
    <s v="USA"/>
    <s v="United States"/>
    <x v="2"/>
  </r>
  <r>
    <s v="14-06-2026"/>
    <s v="XYZ Luxury"/>
    <s v="Growify_XYZ LuxuryP_Search_INT-5/21/26"/>
    <s v="ENABLED"/>
    <n v="1800.51"/>
    <n v="4"/>
    <n v="14"/>
    <n v="450.1275"/>
    <n v="0.28571400000000002"/>
    <n v="128607.85709999999"/>
    <n v="0"/>
    <n v="0"/>
    <s v="USA"/>
    <s v="United States"/>
    <x v="2"/>
  </r>
  <r>
    <s v="15-06-2026"/>
    <s v="XYZ Luxury"/>
    <s v="Growify_XYZ LuxuryP_Search_INT-5/21/26"/>
    <s v="ENABLED"/>
    <n v="168.631125"/>
    <n v="7"/>
    <n v="16"/>
    <n v="24.090160999999998"/>
    <n v="0.4375"/>
    <n v="10539.445309999999"/>
    <n v="0"/>
    <n v="0"/>
    <s v="USA"/>
    <s v="United States"/>
    <x v="2"/>
  </r>
  <r>
    <s v="16-06-2026"/>
    <s v="XYZ Luxury"/>
    <s v="Growify_XYZ LuxuryP_Search_INT-5/21/26"/>
    <s v="ENABLED"/>
    <n v="111.78"/>
    <n v="7"/>
    <n v="14"/>
    <n v="15.968571000000001"/>
    <n v="0.5"/>
    <n v="7984.2857139999996"/>
    <n v="0"/>
    <n v="0"/>
    <s v="USA"/>
    <s v="United States"/>
    <x v="2"/>
  </r>
  <r>
    <s v="17-06-2026"/>
    <s v="XYZ Luxury"/>
    <s v="Growify_XYZ LuxuryP_Search_INT-5/21/26"/>
    <s v="ENABLED"/>
    <n v="68.11"/>
    <n v="6"/>
    <n v="26"/>
    <n v="11.351667000000001"/>
    <n v="0.230769"/>
    <n v="2619.6153850000001"/>
    <n v="0"/>
    <n v="0"/>
    <s v="USA"/>
    <s v="United States"/>
    <x v="2"/>
  </r>
  <r>
    <s v="18-06-2026"/>
    <s v="XYZ Luxury"/>
    <s v="Growify_XYZ LuxuryP_Search_INT-5/21/26"/>
    <s v="ENABLED"/>
    <n v="133.26"/>
    <n v="9"/>
    <n v="32"/>
    <n v="14.806666999999999"/>
    <n v="0.28125"/>
    <n v="4164.375"/>
    <n v="0"/>
    <n v="0"/>
    <s v="USA"/>
    <s v="United States"/>
    <x v="2"/>
  </r>
  <r>
    <s v="19-06-2026"/>
    <s v="XYZ Luxury"/>
    <s v="Growify_XYZ LuxuryP_Search_INT-5/21/26"/>
    <s v="ENABLED"/>
    <n v="93.45"/>
    <n v="10"/>
    <n v="42"/>
    <n v="9.3450000000000006"/>
    <n v="0.238095"/>
    <n v="2225"/>
    <n v="0"/>
    <n v="0"/>
    <s v="USA"/>
    <s v="United States"/>
    <x v="2"/>
  </r>
  <r>
    <s v="20-06-2026"/>
    <s v="XYZ Luxury"/>
    <s v="Growify_XYZ LuxuryP_Search_INT-5/21/26"/>
    <s v="ENABLED"/>
    <n v="6.65"/>
    <n v="7"/>
    <n v="24"/>
    <n v="0.95"/>
    <n v="0.29166700000000001"/>
    <n v="277.08333299999998"/>
    <n v="0"/>
    <n v="0"/>
    <s v="USA"/>
    <s v="United States"/>
    <x v="2"/>
  </r>
  <r>
    <s v="21-06-2026"/>
    <s v="XYZ Luxury"/>
    <s v="Growify_XYZ LuxuryP_Search_INT-5/21/26"/>
    <s v="ENABLED"/>
    <n v="620.76331300000004"/>
    <n v="13"/>
    <n v="43"/>
    <n v="47.751024000000001"/>
    <n v="0.30232599999999998"/>
    <n v="14436.35612"/>
    <n v="0"/>
    <n v="0"/>
    <s v="USA"/>
    <s v="United States"/>
    <x v="2"/>
  </r>
  <r>
    <s v="22-06-2026"/>
    <s v="XYZ Luxury"/>
    <s v="Growify_XYZ LuxuryP_Search_INT-5/21/26"/>
    <s v="ENABLED"/>
    <n v="765.02"/>
    <n v="5"/>
    <n v="20"/>
    <n v="153.00399999999999"/>
    <n v="0.25"/>
    <n v="38251"/>
    <n v="0"/>
    <n v="0"/>
    <s v="USA"/>
    <s v="United States"/>
    <x v="2"/>
  </r>
  <r>
    <s v="23-06-2026"/>
    <s v="XYZ Luxury"/>
    <s v="Growify_XYZ LuxuryP_Search_INT-5/21/26"/>
    <s v="ENABLED"/>
    <n v="208.534809"/>
    <n v="11"/>
    <n v="43"/>
    <n v="18.957709999999999"/>
    <n v="0.25581399999999999"/>
    <n v="4849.6467210000001"/>
    <n v="0"/>
    <n v="0"/>
    <s v="USA"/>
    <s v="United States"/>
    <x v="2"/>
  </r>
  <r>
    <s v="24-06-2026"/>
    <s v="XYZ Luxury"/>
    <s v="Growify_XYZ LuxuryP_Search_INT-5/21/26"/>
    <s v="ENABLED"/>
    <n v="54.93"/>
    <n v="7"/>
    <n v="26"/>
    <n v="7.847143"/>
    <n v="0.269231"/>
    <n v="2112.6923080000001"/>
    <n v="0"/>
    <n v="0"/>
    <s v="USA"/>
    <s v="United States"/>
    <x v="2"/>
  </r>
  <r>
    <s v="25-06-2026"/>
    <s v="XYZ Luxury"/>
    <s v="Growify_XYZ LuxuryP_Search_INT-5/21/26"/>
    <s v="ENABLED"/>
    <n v="160.01"/>
    <n v="8"/>
    <n v="35"/>
    <n v="20.001249999999999"/>
    <n v="0.228571"/>
    <n v="4571.7142860000004"/>
    <n v="0"/>
    <n v="0"/>
    <s v="USA"/>
    <s v="United States"/>
    <x v="2"/>
  </r>
  <r>
    <s v="26-06-2026"/>
    <s v="XYZ Luxury"/>
    <s v="Growify_XYZ LuxuryP_Search_INT-5/21/26"/>
    <s v="ENABLED"/>
    <n v="2.85"/>
    <n v="3"/>
    <n v="19"/>
    <n v="0.95"/>
    <n v="0.15789500000000001"/>
    <n v="150"/>
    <n v="0"/>
    <n v="0"/>
    <s v="USA"/>
    <s v="United States"/>
    <x v="2"/>
  </r>
  <r>
    <s v="27-06-2026"/>
    <s v="XYZ Luxury"/>
    <s v="Growify_XYZ LuxuryP_Search_INT-5/21/26"/>
    <s v="ENABLED"/>
    <n v="7.16"/>
    <n v="8"/>
    <n v="26"/>
    <n v="0.89500000000000002"/>
    <n v="0.30769200000000002"/>
    <n v="275.384615"/>
    <n v="0"/>
    <n v="0"/>
    <s v="USA"/>
    <s v="United States"/>
    <x v="2"/>
  </r>
  <r>
    <s v="28-06-2026"/>
    <s v="XYZ Luxury"/>
    <s v="Growify_XYZ LuxuryP_Search_INT-5/21/26"/>
    <s v="ENABLED"/>
    <n v="2039.13"/>
    <n v="7"/>
    <n v="47"/>
    <n v="291.30428599999999"/>
    <n v="0.14893600000000001"/>
    <n v="43385.744680000003"/>
    <n v="0"/>
    <n v="0"/>
    <s v="USA"/>
    <s v="United States"/>
    <x v="2"/>
  </r>
  <r>
    <s v="29-06-2026"/>
    <s v="XYZ Luxury"/>
    <s v="Growify_XYZ LuxuryP_Search_INT-5/21/26"/>
    <s v="ENABLED"/>
    <n v="25.555399999999999"/>
    <n v="11"/>
    <n v="46"/>
    <n v="2.3232179999999998"/>
    <n v="0.23913000000000001"/>
    <n v="555.55217400000004"/>
    <n v="1"/>
    <n v="17870"/>
    <s v="USA"/>
    <s v="United States"/>
    <x v="2"/>
  </r>
  <r>
    <s v="30-06-2026"/>
    <s v="XYZ Luxury"/>
    <s v="Growify_XYZ LuxuryP_Search_INT-5/21/26"/>
    <s v="ENABLED"/>
    <n v="142.80000000000001"/>
    <n v="9"/>
    <n v="33"/>
    <n v="15.866667"/>
    <n v="0.272727"/>
    <n v="4327.2727269999996"/>
    <n v="0"/>
    <n v="0"/>
    <s v="USA"/>
    <s v="United States"/>
    <x v="2"/>
  </r>
  <r>
    <s v="20-06-2026"/>
    <s v="XYZ Luxury"/>
    <s v="Growify_Performance Max_Listing_INTL"/>
    <s v="ENABLED"/>
    <n v="77.56"/>
    <n v="1"/>
    <n v="60"/>
    <n v="77.56"/>
    <n v="1.6667000000000001E-2"/>
    <n v="1292.666667"/>
    <n v="0"/>
    <n v="0"/>
    <s v="USA"/>
    <s v="United States"/>
    <x v="2"/>
  </r>
  <r>
    <s v="21-06-2026"/>
    <s v="XYZ Luxury"/>
    <s v="Growify_Performance Max_Listing_INTL"/>
    <s v="ENABLED"/>
    <n v="339.18"/>
    <n v="9"/>
    <n v="917"/>
    <n v="37.686667"/>
    <n v="9.8150000000000008E-3"/>
    <n v="369.880044"/>
    <n v="0"/>
    <n v="0"/>
    <s v="USA"/>
    <s v="United States"/>
    <x v="2"/>
  </r>
  <r>
    <s v="22-06-2026"/>
    <s v="XYZ Luxury"/>
    <s v="Growify_Performance Max_Listing_INTL"/>
    <s v="ENABLED"/>
    <n v="1035.9858400000001"/>
    <n v="17"/>
    <n v="1248"/>
    <n v="60.940344000000003"/>
    <n v="1.3622E-2"/>
    <n v="830.11685899999998"/>
    <n v="0"/>
    <n v="0"/>
    <s v="USA"/>
    <s v="United States"/>
    <x v="2"/>
  </r>
  <r>
    <s v="23-06-2026"/>
    <s v="XYZ Luxury"/>
    <s v="Growify_Performance Max_Listing_INTL"/>
    <s v="ENABLED"/>
    <n v="922.82147199999997"/>
    <n v="26"/>
    <n v="1306"/>
    <n v="35.493133999999998"/>
    <n v="1.9907999999999999E-2"/>
    <n v="706.60143300000004"/>
    <n v="0"/>
    <n v="0"/>
    <s v="USA"/>
    <s v="United States"/>
    <x v="2"/>
  </r>
  <r>
    <s v="24-06-2026"/>
    <s v="XYZ Luxury"/>
    <s v="Growify_Performance Max_Listing_INTL"/>
    <s v="ENABLED"/>
    <n v="1139.859829"/>
    <n v="20"/>
    <n v="736"/>
    <n v="56.992991000000004"/>
    <n v="2.7174E-2"/>
    <n v="1548.7225940000001"/>
    <n v="0"/>
    <n v="0"/>
    <s v="USA"/>
    <s v="United States"/>
    <x v="2"/>
  </r>
  <r>
    <s v="25-06-2026"/>
    <s v="XYZ Luxury"/>
    <s v="Growify_Performance Max_Listing_INTL"/>
    <s v="ENABLED"/>
    <n v="292.997184"/>
    <n v="8"/>
    <n v="977"/>
    <n v="36.624648000000001"/>
    <n v="8.1880000000000008E-3"/>
    <n v="299.89476400000001"/>
    <n v="0"/>
    <n v="0"/>
    <s v="USA"/>
    <s v="United States"/>
    <x v="2"/>
  </r>
  <r>
    <s v="26-06-2026"/>
    <s v="XYZ Luxury"/>
    <s v="Growify_Performance Max_Listing_INTL"/>
    <s v="ENABLED"/>
    <n v="205.90675100000001"/>
    <n v="7"/>
    <n v="537"/>
    <n v="29.41525"/>
    <n v="1.3035E-2"/>
    <n v="383.43901499999998"/>
    <n v="0"/>
    <n v="0"/>
    <s v="USA"/>
    <s v="United States"/>
    <x v="2"/>
  </r>
  <r>
    <s v="27-06-2026"/>
    <s v="XYZ Luxury"/>
    <s v="Growify_Performance Max_Listing_INTL"/>
    <s v="ENABLED"/>
    <n v="1276.8142250000001"/>
    <n v="21"/>
    <n v="1549"/>
    <n v="60.800677"/>
    <n v="1.3557E-2"/>
    <n v="824.28290800000002"/>
    <n v="0"/>
    <n v="0"/>
    <s v="USA"/>
    <s v="United States"/>
    <x v="2"/>
  </r>
  <r>
    <s v="28-06-2026"/>
    <s v="XYZ Luxury"/>
    <s v="Growify_Performance Max_Listing_INTL"/>
    <s v="ENABLED"/>
    <n v="697.67578400000002"/>
    <n v="17"/>
    <n v="1135"/>
    <n v="41.039752"/>
    <n v="1.4978E-2"/>
    <n v="614.69232099999999"/>
    <n v="1"/>
    <n v="23100"/>
    <s v="USA"/>
    <s v="United States"/>
    <x v="2"/>
  </r>
  <r>
    <s v="29-06-2026"/>
    <s v="XYZ Luxury"/>
    <s v="Growify_Performance Max_Listing_INTL"/>
    <s v="ENABLED"/>
    <n v="482.32965799999999"/>
    <n v="13"/>
    <n v="1361"/>
    <n v="37.102280999999998"/>
    <n v="9.5519999999999997E-3"/>
    <n v="354.39357699999999"/>
    <n v="0"/>
    <n v="0"/>
    <s v="USA"/>
    <s v="United States"/>
    <x v="2"/>
  </r>
  <r>
    <s v="30-06-2026"/>
    <s v="XYZ Luxury"/>
    <s v="Growify_Performance Max_Listing_INTL"/>
    <s v="ENABLED"/>
    <n v="456.76"/>
    <n v="19"/>
    <n v="1302"/>
    <n v="24.04"/>
    <n v="1.4593E-2"/>
    <n v="350.81413199999997"/>
    <n v="0"/>
    <n v="0"/>
    <s v="USA"/>
    <s v="United States"/>
    <x v="2"/>
  </r>
  <r>
    <s v="26-06-2026"/>
    <s v="XYZ Luxury"/>
    <s v="Growify_Performance Max_Listing_INTL"/>
    <s v="ENABLED"/>
    <n v="0"/>
    <n v="0"/>
    <n v="86"/>
    <m/>
    <n v="0"/>
    <n v="0"/>
    <n v="0"/>
    <n v="0"/>
    <s v="Rest of the World"/>
    <s v="Australia"/>
    <x v="3"/>
  </r>
  <r>
    <s v="20-06-2026"/>
    <s v="XYZ Luxury"/>
    <s v="Growify_Performance Max_Listing_INTL"/>
    <s v="ENABLED"/>
    <n v="0"/>
    <n v="0"/>
    <n v="14"/>
    <m/>
    <n v="0"/>
    <n v="0"/>
    <n v="0"/>
    <n v="0"/>
    <s v="Rest of the World"/>
    <s v="Canada"/>
    <x v="0"/>
  </r>
  <r>
    <s v="20-06-2026"/>
    <s v="XYZ Luxury"/>
    <s v="Growify_XYZ LuxuryP_Search_INT-5/21/26"/>
    <s v="ENABLED"/>
    <n v="0"/>
    <n v="0"/>
    <n v="4"/>
    <m/>
    <n v="0"/>
    <n v="0"/>
    <n v="0"/>
    <n v="0"/>
    <s v="Rest of the World"/>
    <s v="Australia"/>
    <x v="3"/>
  </r>
  <r>
    <s v="20-06-2026"/>
    <s v="XYZ Luxury"/>
    <s v="Growify_Performance Max_Listing_INTL"/>
    <s v="ENABLED"/>
    <n v="0"/>
    <n v="0"/>
    <n v="12"/>
    <m/>
    <n v="0"/>
    <n v="0"/>
    <n v="0"/>
    <n v="0"/>
    <s v="Rest of the World"/>
    <s v="Australia"/>
    <x v="3"/>
  </r>
  <r>
    <s v="25-06-2026"/>
    <s v="XYZ Luxury"/>
    <s v="Growify_Performance Max_Listing_INTL"/>
    <s v="ENABLED"/>
    <n v="0"/>
    <n v="0"/>
    <n v="82"/>
    <m/>
    <n v="0"/>
    <n v="0"/>
    <n v="0"/>
    <n v="0"/>
    <s v="Rest of the World"/>
    <s v="United Kingdom"/>
    <x v="4"/>
  </r>
  <r>
    <d v="2026-05-08T00:00:00"/>
    <s v="XYZ Luxury"/>
    <s v="Growify_XYZ LuxuryP_Search_INT-5/21/26"/>
    <s v="ENABLED"/>
    <n v="337.76"/>
    <n v="3"/>
    <n v="6"/>
    <n v="112.58666700000001"/>
    <n v="0.5"/>
    <n v="56293.333330000001"/>
    <n v="1"/>
    <n v="20500"/>
    <s v="Rest of the World"/>
    <s v="Australia"/>
    <x v="3"/>
  </r>
  <r>
    <d v="2026-06-08T00:00:00"/>
    <s v="XYZ Luxury"/>
    <s v="Growify_XYZ LuxuryP_Search_INT-5/21/26"/>
    <s v="ENABLED"/>
    <n v="125.55"/>
    <n v="2"/>
    <n v="5"/>
    <n v="62.774999999999999"/>
    <n v="0.4"/>
    <n v="25110"/>
    <n v="0"/>
    <n v="0"/>
    <s v="Rest of the World"/>
    <s v="Australia"/>
    <x v="3"/>
  </r>
  <r>
    <d v="2026-07-08T00:00:00"/>
    <s v="XYZ Luxury"/>
    <s v="Growify_XYZ LuxuryP_Search_INT-5/21/26"/>
    <s v="ENABLED"/>
    <n v="10.72"/>
    <n v="1"/>
    <n v="1"/>
    <n v="10.72"/>
    <n v="1"/>
    <n v="10720"/>
    <n v="0"/>
    <n v="0"/>
    <s v="Rest of the World"/>
    <s v="Australia"/>
    <x v="3"/>
  </r>
  <r>
    <d v="2026-08-08T00:00:00"/>
    <s v="XYZ Luxury"/>
    <s v="Growify_XYZ LuxuryP_Search_INT-5/21/26"/>
    <s v="ENABLED"/>
    <n v="2.7"/>
    <n v="2"/>
    <n v="7"/>
    <n v="1.35"/>
    <n v="0.28571400000000002"/>
    <n v="385.71428600000002"/>
    <n v="0"/>
    <n v="0"/>
    <s v="Rest of the World"/>
    <s v="Australia"/>
    <x v="3"/>
  </r>
  <r>
    <d v="2026-09-08T00:00:00"/>
    <s v="XYZ Luxury"/>
    <s v="Growify_XYZ LuxuryP_Search_INT-5/21/26"/>
    <s v="ENABLED"/>
    <n v="0.12049600000000001"/>
    <n v="1"/>
    <n v="5"/>
    <n v="0.12049600000000001"/>
    <n v="0.2"/>
    <n v="24.0992"/>
    <n v="0"/>
    <n v="0"/>
    <s v="Rest of the World"/>
    <s v="Australia"/>
    <x v="3"/>
  </r>
  <r>
    <d v="2026-10-08T00:00:00"/>
    <s v="XYZ Luxury"/>
    <s v="Growify_XYZ LuxuryP_Search_INT-5/21/26"/>
    <s v="ENABLED"/>
    <n v="243.53"/>
    <n v="2"/>
    <n v="8"/>
    <n v="121.765"/>
    <n v="0.25"/>
    <n v="30441.25"/>
    <n v="0"/>
    <n v="0"/>
    <s v="Rest of the World"/>
    <s v="Australia"/>
    <x v="3"/>
  </r>
  <r>
    <d v="2026-11-08T00:00:00"/>
    <s v="XYZ Luxury"/>
    <s v="Growify_XYZ LuxuryP_Search_INT-5/21/26"/>
    <s v="ENABLED"/>
    <n v="8.08"/>
    <n v="1"/>
    <n v="3"/>
    <n v="8.08"/>
    <n v="0.33333299999999999"/>
    <n v="2693.333333"/>
    <n v="0"/>
    <n v="0"/>
    <s v="Rest of the World"/>
    <s v="Australia"/>
    <x v="3"/>
  </r>
  <r>
    <s v="13-08-2026"/>
    <s v="XYZ Luxury"/>
    <s v="Growify_XYZ LuxuryP_Search_INT-5/21/26"/>
    <s v="ENABLED"/>
    <n v="2.7"/>
    <n v="2"/>
    <n v="5"/>
    <n v="1.35"/>
    <n v="0.4"/>
    <n v="540"/>
    <n v="0"/>
    <n v="0"/>
    <s v="Rest of the World"/>
    <s v="Australia"/>
    <x v="3"/>
  </r>
  <r>
    <s v="14-08-2026"/>
    <s v="XYZ Luxury"/>
    <s v="Growify_XYZ LuxuryP_Search_INT-5/21/26"/>
    <s v="ENABLED"/>
    <n v="95.844865999999996"/>
    <n v="6"/>
    <n v="19"/>
    <n v="15.974144000000001"/>
    <n v="0.31578899999999999"/>
    <n v="5044.4666319999997"/>
    <n v="0"/>
    <n v="0"/>
    <s v="Rest of the World"/>
    <s v="Australia"/>
    <x v="3"/>
  </r>
  <r>
    <s v="15-08-2026"/>
    <s v="XYZ Luxury"/>
    <s v="Growify_XYZ LuxuryP_Search_INT-5/21/26"/>
    <s v="ENABLED"/>
    <n v="180.55"/>
    <n v="6"/>
    <n v="13"/>
    <n v="30.091667000000001"/>
    <n v="0.461538"/>
    <n v="13888.46154"/>
    <n v="0"/>
    <n v="0"/>
    <s v="Rest of the World"/>
    <s v="Australia"/>
    <x v="3"/>
  </r>
  <r>
    <s v="16-08-2026"/>
    <s v="XYZ Luxury"/>
    <s v="Growify_XYZ LuxuryP_Search_INT-5/21/26"/>
    <s v="ENABLED"/>
    <n v="2.72"/>
    <n v="2"/>
    <n v="10"/>
    <n v="1.36"/>
    <n v="0.2"/>
    <n v="272"/>
    <n v="0"/>
    <n v="0"/>
    <s v="Rest of the World"/>
    <s v="Australia"/>
    <x v="3"/>
  </r>
  <r>
    <s v="17-08-2026"/>
    <s v="XYZ Luxury"/>
    <s v="Growify_XYZ LuxuryP_Search_INT-5/21/26"/>
    <s v="ENABLED"/>
    <n v="10.84"/>
    <n v="1"/>
    <n v="10"/>
    <n v="10.84"/>
    <n v="0.1"/>
    <n v="1084"/>
    <n v="0"/>
    <n v="0"/>
    <s v="Rest of the World"/>
    <s v="Australia"/>
    <x v="3"/>
  </r>
  <r>
    <s v="18-08-2026"/>
    <s v="XYZ Luxury"/>
    <s v="Growify_XYZ LuxuryP_Search_INT-5/21/26"/>
    <s v="ENABLED"/>
    <n v="442.92"/>
    <n v="2"/>
    <n v="6"/>
    <n v="221.46"/>
    <n v="0.33333299999999999"/>
    <n v="73820"/>
    <n v="0"/>
    <n v="0"/>
    <s v="Rest of the World"/>
    <s v="Australia"/>
    <x v="3"/>
  </r>
  <r>
    <s v="19-08-2026"/>
    <s v="XYZ Luxury"/>
    <s v="Growify_XYZ LuxuryP_Search_INT-5/21/26"/>
    <s v="ENABLED"/>
    <n v="69.150000000000006"/>
    <n v="4"/>
    <n v="13"/>
    <n v="17.287500000000001"/>
    <n v="0.30769200000000002"/>
    <n v="5319.2307689999998"/>
    <n v="0"/>
    <n v="0"/>
    <s v="Rest of the World"/>
    <s v="Australia"/>
    <x v="3"/>
  </r>
  <r>
    <s v="21-08-2026"/>
    <s v="XYZ Luxury"/>
    <s v="Growify_XYZ LuxuryP_Search_INT-5/21/26"/>
    <s v="ENABLED"/>
    <n v="129.35"/>
    <n v="1"/>
    <n v="1"/>
    <n v="129.35"/>
    <n v="1"/>
    <n v="129350"/>
    <n v="0"/>
    <n v="0"/>
    <s v="Rest of the World"/>
    <s v="Australia"/>
    <x v="3"/>
  </r>
  <r>
    <s v="22-08-2026"/>
    <s v="XYZ Luxury"/>
    <s v="Growify_XYZ LuxuryP_Search_INT-5/21/26"/>
    <s v="ENABLED"/>
    <n v="368.56"/>
    <n v="2"/>
    <n v="6"/>
    <n v="184.28"/>
    <n v="0.33333299999999999"/>
    <n v="61426.666669999999"/>
    <n v="0"/>
    <n v="0"/>
    <s v="Rest of the World"/>
    <s v="Australia"/>
    <x v="3"/>
  </r>
  <r>
    <s v="23-08-2026"/>
    <s v="XYZ Luxury"/>
    <s v="Growify_XYZ LuxuryP_Search_INT-5/21/26"/>
    <s v="ENABLED"/>
    <n v="16.48"/>
    <n v="2"/>
    <n v="11"/>
    <n v="8.24"/>
    <n v="0.18181800000000001"/>
    <n v="1498.181818"/>
    <n v="0"/>
    <n v="0"/>
    <s v="Rest of the World"/>
    <s v="Australia"/>
    <x v="3"/>
  </r>
  <r>
    <s v="24-08-2026"/>
    <s v="XYZ Luxury"/>
    <s v="Growify_XYZ LuxuryP_Search_INT-5/21/26"/>
    <s v="ENABLED"/>
    <n v="18.54"/>
    <n v="2"/>
    <n v="6"/>
    <n v="9.27"/>
    <n v="0.33333299999999999"/>
    <n v="3090"/>
    <n v="0"/>
    <n v="0"/>
    <s v="Rest of the World"/>
    <s v="Australia"/>
    <x v="3"/>
  </r>
  <r>
    <s v="25-08-2026"/>
    <s v="XYZ Luxury"/>
    <s v="Growify_XYZ LuxuryP_Search_INT-5/21/26"/>
    <s v="ENABLED"/>
    <n v="1.37"/>
    <n v="1"/>
    <n v="4"/>
    <n v="1.37"/>
    <n v="0.25"/>
    <n v="342.5"/>
    <n v="0"/>
    <n v="0"/>
    <s v="Rest of the World"/>
    <s v="Australia"/>
    <x v="3"/>
  </r>
  <r>
    <s v="26-08-2026"/>
    <s v="XYZ Luxury"/>
    <s v="Growify_XYZ LuxuryP_Search_INT-5/21/26"/>
    <s v="ENABLED"/>
    <n v="24.515467999999998"/>
    <n v="1"/>
    <n v="6"/>
    <n v="24.515467999999998"/>
    <n v="0.16666700000000001"/>
    <n v="4085.911333"/>
    <n v="0"/>
    <n v="0"/>
    <s v="Rest of the World"/>
    <s v="Australia"/>
    <x v="3"/>
  </r>
  <r>
    <s v="27-08-2026"/>
    <s v="XYZ Luxury"/>
    <s v="Growify_XYZ LuxuryP_Search_INT-5/21/26"/>
    <s v="ENABLED"/>
    <n v="95.2"/>
    <n v="4"/>
    <n v="9"/>
    <n v="23.8"/>
    <n v="0.44444400000000001"/>
    <n v="10577.77778"/>
    <n v="0"/>
    <n v="0"/>
    <s v="Rest of the World"/>
    <s v="Australia"/>
    <x v="3"/>
  </r>
  <r>
    <d v="2026-05-08T00:00:00"/>
    <s v="XYZ Luxury"/>
    <s v="Growify_Performance Max_Listing_INTL"/>
    <s v="ENABLED"/>
    <n v="4.83"/>
    <n v="1"/>
    <n v="94"/>
    <n v="4.83"/>
    <n v="1.0638E-2"/>
    <n v="51.382978999999999"/>
    <n v="0"/>
    <n v="0"/>
    <s v="Rest of the World"/>
    <s v="Australia"/>
    <x v="3"/>
  </r>
  <r>
    <d v="2026-06-08T00:00:00"/>
    <s v="XYZ Luxury"/>
    <s v="Growify_Performance Max_Listing_INTL"/>
    <s v="ENABLED"/>
    <n v="53.34"/>
    <n v="3"/>
    <n v="140"/>
    <n v="17.78"/>
    <n v="2.1429E-2"/>
    <n v="381"/>
    <n v="0"/>
    <n v="0"/>
    <s v="Rest of the World"/>
    <s v="Australia"/>
    <x v="3"/>
  </r>
  <r>
    <d v="2026-07-08T00:00:00"/>
    <s v="XYZ Luxury"/>
    <s v="Growify_Performance Max_Listing_INTL"/>
    <s v="ENABLED"/>
    <n v="108.18"/>
    <n v="5"/>
    <n v="107"/>
    <n v="21.635999999999999"/>
    <n v="4.6729E-2"/>
    <n v="1011.028037"/>
    <n v="0"/>
    <n v="0"/>
    <s v="Rest of the World"/>
    <s v="Australia"/>
    <x v="3"/>
  </r>
  <r>
    <d v="2026-08-08T00:00:00"/>
    <s v="XYZ Luxury"/>
    <s v="Growify_Performance Max_Listing_INTL"/>
    <s v="ENABLED"/>
    <n v="4.82"/>
    <n v="1"/>
    <n v="132"/>
    <n v="4.82"/>
    <n v="7.5760000000000003E-3"/>
    <n v="36.515152"/>
    <n v="0"/>
    <n v="0"/>
    <s v="Rest of the World"/>
    <s v="Australia"/>
    <x v="3"/>
  </r>
  <r>
    <d v="2026-09-08T00:00:00"/>
    <s v="XYZ Luxury"/>
    <s v="Growify_Performance Max_Listing_INTL"/>
    <s v="ENABLED"/>
    <n v="44.5"/>
    <n v="2"/>
    <n v="146"/>
    <n v="22.25"/>
    <n v="1.3698999999999999E-2"/>
    <n v="304.79452099999997"/>
    <n v="0"/>
    <n v="0"/>
    <s v="Rest of the World"/>
    <s v="Australia"/>
    <x v="3"/>
  </r>
  <r>
    <d v="2026-10-08T00:00:00"/>
    <s v="XYZ Luxury"/>
    <s v="Growify_Performance Max_Listing_INTL"/>
    <s v="ENABLED"/>
    <n v="99.03"/>
    <n v="4"/>
    <n v="188"/>
    <n v="24.7575"/>
    <n v="2.1277000000000001E-2"/>
    <n v="526.75531899999999"/>
    <n v="0"/>
    <n v="0"/>
    <s v="Rest of the World"/>
    <s v="Australia"/>
    <x v="3"/>
  </r>
  <r>
    <d v="2026-11-08T00:00:00"/>
    <s v="XYZ Luxury"/>
    <s v="Growify_Performance Max_Listing_INTL"/>
    <s v="ENABLED"/>
    <n v="21.67"/>
    <n v="2"/>
    <n v="126"/>
    <n v="10.835000000000001"/>
    <n v="1.5873000000000002E-2"/>
    <n v="171.984127"/>
    <n v="0"/>
    <n v="0"/>
    <s v="Rest of the World"/>
    <s v="Australia"/>
    <x v="3"/>
  </r>
  <r>
    <s v="14-08-2026"/>
    <s v="XYZ Luxury"/>
    <s v="Growify_Performance Max_Listing_INTL"/>
    <s v="ENABLED"/>
    <n v="13.66"/>
    <n v="1"/>
    <n v="69"/>
    <n v="13.66"/>
    <n v="1.4493000000000001E-2"/>
    <n v="197.971014"/>
    <n v="0"/>
    <n v="0"/>
    <s v="Rest of the World"/>
    <s v="Australia"/>
    <x v="3"/>
  </r>
  <r>
    <s v="16-08-2026"/>
    <s v="XYZ Luxury"/>
    <s v="Growify_Performance Max_Listing_INTL"/>
    <s v="ENABLED"/>
    <n v="16.536328999999999"/>
    <n v="1"/>
    <n v="72"/>
    <n v="16.536328999999999"/>
    <n v="1.3889E-2"/>
    <n v="229.67123599999999"/>
    <n v="0"/>
    <n v="0"/>
    <s v="Rest of the World"/>
    <s v="Australia"/>
    <x v="3"/>
  </r>
  <r>
    <s v="17-08-2026"/>
    <s v="XYZ Luxury"/>
    <s v="Growify_Performance Max_Listing_INTL"/>
    <s v="ENABLED"/>
    <n v="59.149804000000003"/>
    <n v="4"/>
    <n v="87"/>
    <n v="14.787451000000001"/>
    <n v="4.5976999999999997E-2"/>
    <n v="679.88280499999996"/>
    <n v="0"/>
    <n v="0"/>
    <s v="Rest of the World"/>
    <s v="Australia"/>
    <x v="3"/>
  </r>
  <r>
    <s v="18-08-2026"/>
    <s v="XYZ Luxury"/>
    <s v="Growify_Performance Max_Listing_INTL"/>
    <s v="ENABLED"/>
    <n v="22.32"/>
    <n v="3"/>
    <n v="143"/>
    <n v="7.44"/>
    <n v="2.0979000000000001E-2"/>
    <n v="156.08391599999999"/>
    <n v="0"/>
    <n v="0"/>
    <s v="Rest of the World"/>
    <s v="Australia"/>
    <x v="3"/>
  </r>
  <r>
    <s v="19-08-2026"/>
    <s v="XYZ Luxury"/>
    <s v="Growify_Performance Max_Listing_INTL"/>
    <s v="ENABLED"/>
    <n v="63.288013999999997"/>
    <n v="5"/>
    <n v="514"/>
    <n v="12.657603"/>
    <n v="9.7280000000000005E-3"/>
    <n v="123.128432"/>
    <n v="0"/>
    <n v="0"/>
    <s v="Rest of the World"/>
    <s v="Australia"/>
    <x v="3"/>
  </r>
  <r>
    <s v="20-08-2026"/>
    <s v="XYZ Luxury"/>
    <s v="Growify_Performance Max_Listing_INTL"/>
    <s v="ENABLED"/>
    <n v="437.37161400000002"/>
    <n v="6"/>
    <n v="268"/>
    <n v="72.895268999999999"/>
    <n v="2.2388000000000002E-2"/>
    <n v="1631.9836339999999"/>
    <n v="0"/>
    <n v="0"/>
    <s v="Rest of the World"/>
    <s v="Australia"/>
    <x v="3"/>
  </r>
  <r>
    <s v="21-08-2026"/>
    <s v="XYZ Luxury"/>
    <s v="Growify_Performance Max_Listing_INTL"/>
    <s v="ENABLED"/>
    <n v="202.437522"/>
    <n v="3"/>
    <n v="134"/>
    <n v="67.479174"/>
    <n v="2.2388000000000002E-2"/>
    <n v="1510.7277759999999"/>
    <n v="0"/>
    <n v="0"/>
    <s v="Rest of the World"/>
    <s v="Australia"/>
    <x v="3"/>
  </r>
  <r>
    <s v="22-08-2026"/>
    <s v="XYZ Luxury"/>
    <s v="Growify_Performance Max_Listing_INTL"/>
    <s v="ENABLED"/>
    <n v="143.17634899999999"/>
    <n v="6"/>
    <n v="165"/>
    <n v="23.862725000000001"/>
    <n v="3.6364E-2"/>
    <n v="867.73544800000002"/>
    <n v="0"/>
    <n v="0"/>
    <s v="Rest of the World"/>
    <s v="Australia"/>
    <x v="3"/>
  </r>
  <r>
    <s v="23-08-2026"/>
    <s v="XYZ Luxury"/>
    <s v="Growify_Performance Max_Listing_INTL"/>
    <s v="ENABLED"/>
    <n v="191.30766800000001"/>
    <n v="4"/>
    <n v="337"/>
    <n v="47.826917000000002"/>
    <n v="1.1868999999999999E-2"/>
    <n v="567.67854"/>
    <n v="0"/>
    <n v="0"/>
    <s v="Rest of the World"/>
    <s v="Australia"/>
    <x v="3"/>
  </r>
  <r>
    <s v="26-08-2026"/>
    <s v="XYZ Luxury"/>
    <s v="Growify_Performance Max_Listing_INTL"/>
    <s v="ENABLED"/>
    <n v="9"/>
    <n v="1"/>
    <n v="62"/>
    <n v="9"/>
    <n v="1.6129000000000001E-2"/>
    <n v="145.16129000000001"/>
    <n v="0"/>
    <n v="0"/>
    <s v="Rest of the World"/>
    <s v="Australia"/>
    <x v="3"/>
  </r>
  <r>
    <d v="2026-05-08T00:00:00"/>
    <s v="XYZ Luxury"/>
    <s v="Growify_XYZ LuxuryP_Search_INT-5/21/26"/>
    <s v="ENABLED"/>
    <n v="34.540441999999999"/>
    <n v="4"/>
    <n v="14"/>
    <n v="8.6351110000000002"/>
    <n v="0.28571400000000002"/>
    <n v="2467.1744290000001"/>
    <n v="0"/>
    <n v="0"/>
    <s v="Rest of the World"/>
    <s v="Canada"/>
    <x v="0"/>
  </r>
  <r>
    <d v="2026-06-08T00:00:00"/>
    <s v="XYZ Luxury"/>
    <s v="Growify_XYZ LuxuryP_Search_INT-5/21/26"/>
    <s v="ENABLED"/>
    <n v="50.94"/>
    <n v="7"/>
    <n v="21"/>
    <n v="7.2771429999999997"/>
    <n v="0.33333299999999999"/>
    <n v="2425.7142859999999"/>
    <n v="0"/>
    <n v="0"/>
    <s v="Rest of the World"/>
    <s v="Canada"/>
    <x v="0"/>
  </r>
  <r>
    <d v="2026-07-08T00:00:00"/>
    <s v="XYZ Luxury"/>
    <s v="Growify_XYZ LuxuryP_Search_INT-5/21/26"/>
    <s v="ENABLED"/>
    <n v="3.4"/>
    <n v="2"/>
    <n v="7"/>
    <n v="1.7"/>
    <n v="0.28571400000000002"/>
    <n v="485.71428600000002"/>
    <n v="0"/>
    <n v="0"/>
    <s v="Rest of the World"/>
    <s v="Canada"/>
    <x v="0"/>
  </r>
  <r>
    <d v="2026-08-08T00:00:00"/>
    <s v="XYZ Luxury"/>
    <s v="Growify_XYZ LuxuryP_Search_INT-5/21/26"/>
    <s v="ENABLED"/>
    <n v="133.93"/>
    <n v="11"/>
    <n v="31"/>
    <n v="12.175454999999999"/>
    <n v="0.35483900000000002"/>
    <n v="4320.3225810000004"/>
    <n v="0"/>
    <n v="0"/>
    <s v="Rest of the World"/>
    <s v="Canada"/>
    <x v="0"/>
  </r>
  <r>
    <d v="2026-09-08T00:00:00"/>
    <s v="XYZ Luxury"/>
    <s v="Growify_XYZ LuxuryP_Search_INT-5/21/26"/>
    <s v="ENABLED"/>
    <n v="165.71302499999999"/>
    <n v="10"/>
    <n v="25"/>
    <n v="16.571301999999999"/>
    <n v="0.4"/>
    <n v="6628.5209999999997"/>
    <n v="0"/>
    <n v="0"/>
    <s v="Rest of the World"/>
    <s v="Canada"/>
    <x v="0"/>
  </r>
  <r>
    <d v="2026-10-08T00:00:00"/>
    <s v="XYZ Luxury"/>
    <s v="Growify_XYZ LuxuryP_Search_INT-5/21/26"/>
    <s v="ENABLED"/>
    <n v="227.69"/>
    <n v="15"/>
    <n v="39"/>
    <n v="15.179333"/>
    <n v="0.38461499999999998"/>
    <n v="5838.2051279999996"/>
    <n v="0"/>
    <n v="0"/>
    <s v="Rest of the World"/>
    <s v="Canada"/>
    <x v="0"/>
  </r>
  <r>
    <d v="2026-11-08T00:00:00"/>
    <s v="XYZ Luxury"/>
    <s v="Growify_XYZ LuxuryP_Search_INT-5/21/26"/>
    <s v="ENABLED"/>
    <n v="215.048472"/>
    <n v="15"/>
    <n v="33"/>
    <n v="14.336565"/>
    <n v="0.45454499999999998"/>
    <n v="6516.6203640000003"/>
    <n v="0"/>
    <n v="0"/>
    <s v="Rest of the World"/>
    <s v="Canada"/>
    <x v="0"/>
  </r>
  <r>
    <d v="2026-12-08T00:00:00"/>
    <s v="XYZ Luxury"/>
    <s v="Growify_XYZ LuxuryP_Search_INT-5/21/26"/>
    <s v="ENABLED"/>
    <n v="105.039491"/>
    <n v="10"/>
    <n v="21"/>
    <n v="10.503949"/>
    <n v="0.47619"/>
    <n v="5001.8805240000002"/>
    <n v="0"/>
    <n v="0"/>
    <s v="Rest of the World"/>
    <s v="Canada"/>
    <x v="0"/>
  </r>
  <r>
    <s v="13-08-2026"/>
    <s v="XYZ Luxury"/>
    <s v="Growify_XYZ LuxuryP_Search_INT-5/21/26"/>
    <s v="ENABLED"/>
    <n v="44.49"/>
    <n v="4"/>
    <n v="10"/>
    <n v="11.1225"/>
    <n v="0.4"/>
    <n v="4449"/>
    <n v="0"/>
    <n v="0"/>
    <s v="Rest of the World"/>
    <s v="Canada"/>
    <x v="0"/>
  </r>
  <r>
    <s v="14-08-2026"/>
    <s v="XYZ Luxury"/>
    <s v="Growify_XYZ LuxuryP_Search_INT-5/21/26"/>
    <s v="ENABLED"/>
    <n v="640.88820199999998"/>
    <n v="17"/>
    <n v="34"/>
    <n v="37.699306"/>
    <n v="0.5"/>
    <n v="18849.652999999998"/>
    <n v="0"/>
    <n v="0"/>
    <s v="Rest of the World"/>
    <s v="Canada"/>
    <x v="0"/>
  </r>
  <r>
    <s v="15-08-2026"/>
    <s v="XYZ Luxury"/>
    <s v="Growify_XYZ LuxuryP_Search_INT-5/21/26"/>
    <s v="ENABLED"/>
    <n v="104.55"/>
    <n v="9"/>
    <n v="25"/>
    <n v="11.616667"/>
    <n v="0.36"/>
    <n v="4182"/>
    <n v="0"/>
    <n v="0"/>
    <s v="Rest of the World"/>
    <s v="Canada"/>
    <x v="0"/>
  </r>
  <r>
    <s v="16-08-2026"/>
    <s v="XYZ Luxury"/>
    <s v="Growify_XYZ LuxuryP_Search_INT-5/21/26"/>
    <s v="ENABLED"/>
    <n v="177.57596100000001"/>
    <n v="6"/>
    <n v="17"/>
    <n v="29.595994000000001"/>
    <n v="0.352941"/>
    <n v="10445.644770000001"/>
    <n v="0"/>
    <n v="0"/>
    <s v="Rest of the World"/>
    <s v="Canada"/>
    <x v="0"/>
  </r>
  <r>
    <s v="17-08-2026"/>
    <s v="XYZ Luxury"/>
    <s v="Growify_XYZ LuxuryP_Search_INT-5/21/26"/>
    <s v="ENABLED"/>
    <n v="563.085961"/>
    <n v="10"/>
    <n v="27"/>
    <n v="56.308596000000001"/>
    <n v="0.37036999999999998"/>
    <n v="20855.03559"/>
    <n v="0"/>
    <n v="0"/>
    <s v="Rest of the World"/>
    <s v="Canada"/>
    <x v="0"/>
  </r>
  <r>
    <s v="18-08-2026"/>
    <s v="XYZ Luxury"/>
    <s v="Growify_XYZ LuxuryP_Search_INT-5/21/26"/>
    <s v="ENABLED"/>
    <n v="318.38"/>
    <n v="9"/>
    <n v="21"/>
    <n v="35.375556000000003"/>
    <n v="0.42857099999999998"/>
    <n v="15160.952380000001"/>
    <n v="0"/>
    <n v="0"/>
    <s v="Rest of the World"/>
    <s v="Canada"/>
    <x v="0"/>
  </r>
  <r>
    <s v="19-08-2026"/>
    <s v="XYZ Luxury"/>
    <s v="Growify_XYZ LuxuryP_Search_INT-5/21/26"/>
    <s v="ENABLED"/>
    <n v="232.87"/>
    <n v="10"/>
    <n v="31"/>
    <n v="23.286999999999999"/>
    <n v="0.32258100000000001"/>
    <n v="7511.9354839999996"/>
    <n v="0"/>
    <n v="0"/>
    <s v="Rest of the World"/>
    <s v="Canada"/>
    <x v="0"/>
  </r>
  <r>
    <s v="20-08-2026"/>
    <s v="XYZ Luxury"/>
    <s v="Growify_XYZ LuxuryP_Search_INT-5/21/26"/>
    <s v="ENABLED"/>
    <n v="183.82"/>
    <n v="7"/>
    <n v="22"/>
    <n v="26.26"/>
    <n v="0.31818200000000002"/>
    <n v="8355.4545450000005"/>
    <n v="0"/>
    <n v="0"/>
    <s v="Rest of the World"/>
    <s v="Canada"/>
    <x v="0"/>
  </r>
  <r>
    <s v="21-08-2026"/>
    <s v="XYZ Luxury"/>
    <s v="Growify_XYZ LuxuryP_Search_INT-5/21/26"/>
    <s v="ENABLED"/>
    <n v="47.91"/>
    <n v="2"/>
    <n v="7"/>
    <n v="23.954999999999998"/>
    <n v="0.28571400000000002"/>
    <n v="6844.2857139999996"/>
    <n v="0"/>
    <n v="0"/>
    <s v="Rest of the World"/>
    <s v="Canada"/>
    <x v="0"/>
  </r>
  <r>
    <s v="22-08-2026"/>
    <s v="XYZ Luxury"/>
    <s v="Growify_XYZ LuxuryP_Search_INT-5/21/26"/>
    <s v="ENABLED"/>
    <n v="21.61"/>
    <n v="6"/>
    <n v="10"/>
    <n v="3.601667"/>
    <n v="0.6"/>
    <n v="2161"/>
    <n v="0"/>
    <n v="0"/>
    <s v="Rest of the World"/>
    <s v="Canada"/>
    <x v="0"/>
  </r>
  <r>
    <s v="23-08-2026"/>
    <s v="XYZ Luxury"/>
    <s v="Growify_XYZ LuxuryP_Search_INT-5/21/26"/>
    <s v="ENABLED"/>
    <n v="107.85"/>
    <n v="6"/>
    <n v="20"/>
    <n v="17.975000000000001"/>
    <n v="0.3"/>
    <n v="5392.5"/>
    <n v="0"/>
    <n v="0"/>
    <s v="Rest of the World"/>
    <s v="Canada"/>
    <x v="0"/>
  </r>
  <r>
    <s v="24-08-2026"/>
    <s v="XYZ Luxury"/>
    <s v="Growify_XYZ LuxuryP_Search_INT-5/21/26"/>
    <s v="ENABLED"/>
    <n v="70.031317999999999"/>
    <n v="10"/>
    <n v="31"/>
    <n v="7.0031319999999999"/>
    <n v="0.32258100000000001"/>
    <n v="2259.0747740000002"/>
    <n v="0"/>
    <n v="0"/>
    <s v="Rest of the World"/>
    <s v="Canada"/>
    <x v="0"/>
  </r>
  <r>
    <s v="25-08-2026"/>
    <s v="XYZ Luxury"/>
    <s v="Growify_XYZ LuxuryP_Search_INT-5/21/26"/>
    <s v="ENABLED"/>
    <n v="2.78"/>
    <n v="2"/>
    <n v="5"/>
    <n v="1.39"/>
    <n v="0.4"/>
    <n v="556"/>
    <n v="0"/>
    <n v="0"/>
    <s v="Rest of the World"/>
    <s v="Canada"/>
    <x v="0"/>
  </r>
  <r>
    <s v="26-08-2026"/>
    <s v="XYZ Luxury"/>
    <s v="Growify_XYZ LuxuryP_Search_INT-5/21/26"/>
    <s v="ENABLED"/>
    <n v="5.52"/>
    <n v="4"/>
    <n v="7"/>
    <n v="1.38"/>
    <n v="0.57142899999999996"/>
    <n v="788.57142899999997"/>
    <n v="0"/>
    <n v="0"/>
    <s v="Rest of the World"/>
    <s v="Canada"/>
    <x v="0"/>
  </r>
  <r>
    <s v="27-08-2026"/>
    <s v="XYZ Luxury"/>
    <s v="Growify_XYZ LuxuryP_Search_INT-5/21/26"/>
    <s v="ENABLED"/>
    <n v="1.38"/>
    <n v="1"/>
    <n v="2"/>
    <n v="1.38"/>
    <n v="0.5"/>
    <n v="690"/>
    <n v="0"/>
    <n v="0"/>
    <s v="Rest of the World"/>
    <s v="Canada"/>
    <x v="0"/>
  </r>
  <r>
    <d v="2026-06-08T00:00:00"/>
    <s v="XYZ Luxury"/>
    <s v="Growify_Performance Max_Listing_INTL"/>
    <s v="ENABLED"/>
    <n v="70.462142"/>
    <n v="2"/>
    <n v="114"/>
    <n v="35.231071"/>
    <n v="1.7544000000000001E-2"/>
    <n v="618.08896500000003"/>
    <n v="0"/>
    <n v="0"/>
    <s v="Rest of the World"/>
    <s v="Canada"/>
    <x v="0"/>
  </r>
  <r>
    <d v="2026-07-08T00:00:00"/>
    <s v="XYZ Luxury"/>
    <s v="Growify_Performance Max_Listing_INTL"/>
    <s v="ENABLED"/>
    <n v="110.039281"/>
    <n v="1"/>
    <n v="76"/>
    <n v="110.039281"/>
    <n v="1.3158E-2"/>
    <n v="1447.885276"/>
    <n v="0"/>
    <n v="0"/>
    <s v="Rest of the World"/>
    <s v="Canada"/>
    <x v="0"/>
  </r>
  <r>
    <d v="2026-08-08T00:00:00"/>
    <s v="XYZ Luxury"/>
    <s v="Growify_Performance Max_Listing_INTL"/>
    <s v="ENABLED"/>
    <n v="66.980101000000005"/>
    <n v="2"/>
    <n v="185"/>
    <n v="33.490051000000001"/>
    <n v="1.0810999999999999E-2"/>
    <n v="362.05459999999999"/>
    <n v="0"/>
    <n v="0"/>
    <s v="Rest of the World"/>
    <s v="Canada"/>
    <x v="0"/>
  </r>
  <r>
    <d v="2026-09-08T00:00:00"/>
    <s v="XYZ Luxury"/>
    <s v="Growify_Performance Max_Listing_INTL"/>
    <s v="ENABLED"/>
    <n v="122.83930599999999"/>
    <n v="4"/>
    <n v="229"/>
    <n v="30.709827000000001"/>
    <n v="1.7467E-2"/>
    <n v="536.41618300000005"/>
    <n v="0"/>
    <n v="0"/>
    <s v="Rest of the World"/>
    <s v="Canada"/>
    <x v="0"/>
  </r>
  <r>
    <d v="2026-10-08T00:00:00"/>
    <s v="XYZ Luxury"/>
    <s v="Growify_Performance Max_Listing_INTL"/>
    <s v="ENABLED"/>
    <n v="54.31"/>
    <n v="3"/>
    <n v="180"/>
    <n v="18.103332999999999"/>
    <n v="1.6667000000000001E-2"/>
    <n v="301.72222199999999"/>
    <n v="0"/>
    <n v="0"/>
    <s v="Rest of the World"/>
    <s v="Canada"/>
    <x v="0"/>
  </r>
  <r>
    <d v="2026-11-08T00:00:00"/>
    <s v="XYZ Luxury"/>
    <s v="Growify_Performance Max_Listing_INTL"/>
    <s v="ENABLED"/>
    <n v="34.54"/>
    <n v="3"/>
    <n v="174"/>
    <n v="11.513332999999999"/>
    <n v="1.7240999999999999E-2"/>
    <n v="198.50574700000001"/>
    <n v="0"/>
    <n v="0"/>
    <s v="Rest of the World"/>
    <s v="Canada"/>
    <x v="0"/>
  </r>
  <r>
    <d v="2026-12-08T00:00:00"/>
    <s v="XYZ Luxury"/>
    <s v="Growify_Performance Max_Listing_INTL"/>
    <s v="ENABLED"/>
    <n v="0.01"/>
    <n v="1"/>
    <n v="61"/>
    <n v="0.01"/>
    <n v="1.6393000000000001E-2"/>
    <n v="0.163934"/>
    <n v="0"/>
    <n v="0"/>
    <s v="Rest of the World"/>
    <s v="Canada"/>
    <x v="0"/>
  </r>
  <r>
    <s v="13-08-2026"/>
    <s v="XYZ Luxury"/>
    <s v="Growify_Performance Max_Listing_INTL"/>
    <s v="ENABLED"/>
    <n v="18.14"/>
    <n v="2"/>
    <n v="49"/>
    <n v="9.07"/>
    <n v="4.0815999999999998E-2"/>
    <n v="370.20408200000003"/>
    <n v="0"/>
    <n v="0"/>
    <s v="Rest of the World"/>
    <s v="Canada"/>
    <x v="0"/>
  </r>
  <r>
    <s v="14-08-2026"/>
    <s v="XYZ Luxury"/>
    <s v="Growify_Performance Max_Listing_INTL"/>
    <s v="ENABLED"/>
    <n v="21.48"/>
    <n v="1"/>
    <n v="79"/>
    <n v="21.48"/>
    <n v="1.2658000000000001E-2"/>
    <n v="271.89873399999999"/>
    <n v="0"/>
    <n v="0"/>
    <s v="Rest of the World"/>
    <s v="Canada"/>
    <x v="0"/>
  </r>
  <r>
    <s v="15-08-2026"/>
    <s v="XYZ Luxury"/>
    <s v="Growify_Performance Max_Listing_INTL"/>
    <s v="ENABLED"/>
    <n v="4.08"/>
    <n v="1"/>
    <n v="47"/>
    <n v="4.08"/>
    <n v="2.1277000000000001E-2"/>
    <n v="86.808510999999996"/>
    <n v="0"/>
    <n v="0"/>
    <s v="Rest of the World"/>
    <s v="Canada"/>
    <x v="0"/>
  </r>
  <r>
    <s v="17-08-2026"/>
    <s v="XYZ Luxury"/>
    <s v="Growify_Performance Max_Listing_INTL"/>
    <s v="ENABLED"/>
    <n v="1.5560130000000001"/>
    <n v="2"/>
    <n v="83"/>
    <n v="0.778007"/>
    <n v="2.4095999999999999E-2"/>
    <n v="18.747145"/>
    <n v="0"/>
    <n v="0"/>
    <s v="Rest of the World"/>
    <s v="Canada"/>
    <x v="0"/>
  </r>
  <r>
    <s v="18-08-2026"/>
    <s v="XYZ Luxury"/>
    <s v="Growify_Performance Max_Listing_INTL"/>
    <s v="ENABLED"/>
    <n v="29.242906999999999"/>
    <n v="1"/>
    <n v="115"/>
    <n v="29.242906999999999"/>
    <n v="8.6960000000000006E-3"/>
    <n v="254.286148"/>
    <n v="0"/>
    <n v="0"/>
    <s v="Rest of the World"/>
    <s v="Canada"/>
    <x v="0"/>
  </r>
  <r>
    <s v="19-08-2026"/>
    <s v="XYZ Luxury"/>
    <s v="Growify_Performance Max_Listing_INTL"/>
    <s v="ENABLED"/>
    <n v="117.020605"/>
    <n v="6"/>
    <n v="461"/>
    <n v="19.503433999999999"/>
    <n v="1.3015000000000001E-2"/>
    <n v="253.84079199999999"/>
    <n v="0"/>
    <n v="0"/>
    <s v="Rest of the World"/>
    <s v="Canada"/>
    <x v="0"/>
  </r>
  <r>
    <s v="20-08-2026"/>
    <s v="XYZ Luxury"/>
    <s v="Growify_Performance Max_Listing_INTL"/>
    <s v="ENABLED"/>
    <n v="295.14867400000003"/>
    <n v="5"/>
    <n v="296"/>
    <n v="59.029735000000002"/>
    <n v="1.6892000000000001E-2"/>
    <n v="997.12389900000005"/>
    <n v="0"/>
    <n v="0"/>
    <s v="Rest of the World"/>
    <s v="Canada"/>
    <x v="0"/>
  </r>
  <r>
    <s v="21-08-2026"/>
    <s v="XYZ Luxury"/>
    <s v="Growify_Performance Max_Listing_INTL"/>
    <s v="ENABLED"/>
    <n v="115.53724200000001"/>
    <n v="3"/>
    <n v="162"/>
    <n v="38.512414"/>
    <n v="1.8519000000000001E-2"/>
    <n v="713.19285200000002"/>
    <n v="0"/>
    <n v="0"/>
    <s v="Rest of the World"/>
    <s v="Canada"/>
    <x v="0"/>
  </r>
  <r>
    <s v="22-08-2026"/>
    <s v="XYZ Luxury"/>
    <s v="Growify_Performance Max_Listing_INTL"/>
    <s v="ENABLED"/>
    <n v="83.979039"/>
    <n v="5"/>
    <n v="66"/>
    <n v="16.795808000000001"/>
    <n v="7.5758000000000006E-2"/>
    <n v="1272.409682"/>
    <n v="0"/>
    <n v="0"/>
    <s v="Rest of the World"/>
    <s v="Canada"/>
    <x v="0"/>
  </r>
  <r>
    <s v="23-08-2026"/>
    <s v="XYZ Luxury"/>
    <s v="Growify_Performance Max_Listing_INTL"/>
    <s v="ENABLED"/>
    <n v="71.279719999999998"/>
    <n v="4"/>
    <n v="123"/>
    <n v="17.819929999999999"/>
    <n v="3.252E-2"/>
    <n v="579.50991899999997"/>
    <n v="0"/>
    <n v="0"/>
    <s v="Rest of the World"/>
    <s v="Canada"/>
    <x v="0"/>
  </r>
  <r>
    <s v="24-08-2026"/>
    <s v="XYZ Luxury"/>
    <s v="Growify_Performance Max_Listing_INTL"/>
    <s v="ENABLED"/>
    <n v="135.09977000000001"/>
    <n v="8"/>
    <n v="90"/>
    <n v="16.887471000000001"/>
    <n v="8.8888999999999996E-2"/>
    <n v="1501.1085559999999"/>
    <n v="0"/>
    <n v="0"/>
    <s v="Rest of the World"/>
    <s v="Canada"/>
    <x v="0"/>
  </r>
  <r>
    <s v="25-08-2026"/>
    <s v="XYZ Luxury"/>
    <s v="Growify_Performance Max_Listing_INTL"/>
    <s v="ENABLED"/>
    <n v="498.32128999999998"/>
    <n v="9"/>
    <n v="79"/>
    <n v="55.369031999999997"/>
    <n v="0.113924"/>
    <n v="6307.8644299999996"/>
    <n v="0"/>
    <n v="0"/>
    <s v="Rest of the World"/>
    <s v="Canada"/>
    <x v="0"/>
  </r>
  <r>
    <s v="26-08-2026"/>
    <s v="XYZ Luxury"/>
    <s v="Growify_Performance Max_Listing_INTL"/>
    <s v="ENABLED"/>
    <n v="15.85"/>
    <n v="4"/>
    <n v="25"/>
    <n v="3.9624999999999999"/>
    <n v="0.16"/>
    <n v="634"/>
    <n v="0"/>
    <n v="0"/>
    <s v="Rest of the World"/>
    <s v="Canada"/>
    <x v="0"/>
  </r>
  <r>
    <d v="2026-05-08T00:00:00"/>
    <s v="XYZ Luxury"/>
    <s v="Growify_XYZ LuxuryP_Search_India-12/12/25"/>
    <s v="ENABLED"/>
    <n v="331.58209799999997"/>
    <n v="45"/>
    <n v="88"/>
    <n v="7.3684909999999997"/>
    <n v="0.51136400000000004"/>
    <n v="3767.9783859999998"/>
    <n v="0"/>
    <n v="0"/>
    <s v="India"/>
    <s v="India"/>
    <x v="1"/>
  </r>
  <r>
    <d v="2026-06-08T00:00:00"/>
    <s v="XYZ Luxury"/>
    <s v="Growify_XYZ LuxuryP_Search_India-12/12/25"/>
    <s v="ENABLED"/>
    <n v="387.32225499999998"/>
    <n v="64"/>
    <n v="122"/>
    <n v="6.0519100000000003"/>
    <n v="0.52459"/>
    <n v="3174.7725820000001"/>
    <n v="0"/>
    <n v="0"/>
    <s v="India"/>
    <s v="India"/>
    <x v="1"/>
  </r>
  <r>
    <d v="2026-07-08T00:00:00"/>
    <s v="XYZ Luxury"/>
    <s v="Growify_XYZ LuxuryP_Search_India-12/12/25"/>
    <s v="ENABLED"/>
    <n v="421.18974900000001"/>
    <n v="75"/>
    <n v="155"/>
    <n v="5.615863"/>
    <n v="0.483871"/>
    <n v="2717.3532190000001"/>
    <n v="1"/>
    <n v="7914.1"/>
    <s v="India"/>
    <s v="India"/>
    <x v="1"/>
  </r>
  <r>
    <d v="2026-08-08T00:00:00"/>
    <s v="XYZ Luxury"/>
    <s v="Growify_XYZ LuxuryP_Search_India-12/12/25"/>
    <s v="ENABLED"/>
    <n v="1192.5101770000001"/>
    <n v="83"/>
    <n v="159"/>
    <n v="14.367592"/>
    <n v="0.52201299999999995"/>
    <n v="7500.0640059999996"/>
    <n v="0"/>
    <n v="4.48E-2"/>
    <s v="India"/>
    <s v="India"/>
    <x v="1"/>
  </r>
  <r>
    <d v="2026-09-08T00:00:00"/>
    <s v="XYZ Luxury"/>
    <s v="Growify_XYZ LuxuryP_Search_India-12/12/25"/>
    <s v="ENABLED"/>
    <n v="1053.2062539999999"/>
    <n v="88"/>
    <n v="139"/>
    <n v="11.968253000000001"/>
    <n v="0.63309400000000005"/>
    <n v="7577.0234099999998"/>
    <n v="1"/>
    <n v="17880.099999999999"/>
    <s v="India"/>
    <s v="India"/>
    <x v="1"/>
  </r>
  <r>
    <d v="2026-10-08T00:00:00"/>
    <s v="XYZ Luxury"/>
    <s v="Growify_XYZ LuxuryP_Search_India-12/12/25"/>
    <s v="ENABLED"/>
    <n v="652.04334300000005"/>
    <n v="58"/>
    <n v="104"/>
    <n v="11.242127"/>
    <n v="0.55769199999999997"/>
    <n v="6269.6475289999998"/>
    <n v="0"/>
    <n v="0"/>
    <s v="India"/>
    <s v="India"/>
    <x v="1"/>
  </r>
  <r>
    <d v="2026-11-08T00:00:00"/>
    <s v="XYZ Luxury"/>
    <s v="Growify_XYZ LuxuryP_Search_India-12/12/25"/>
    <s v="ENABLED"/>
    <n v="818.50318500000003"/>
    <n v="58"/>
    <n v="94"/>
    <n v="14.112124"/>
    <n v="0.61702100000000004"/>
    <n v="8707.4806910000007"/>
    <n v="0"/>
    <n v="0"/>
    <s v="India"/>
    <s v="India"/>
    <x v="1"/>
  </r>
  <r>
    <d v="2026-12-08T00:00:00"/>
    <s v="XYZ Luxury"/>
    <s v="Growify_XYZ LuxuryP_Search_India-12/12/25"/>
    <s v="ENABLED"/>
    <n v="938.59260300000005"/>
    <n v="42"/>
    <n v="78"/>
    <n v="22.347442999999998"/>
    <n v="0.538462"/>
    <n v="12033.238499999999"/>
    <n v="1"/>
    <n v="5320"/>
    <s v="India"/>
    <s v="India"/>
    <x v="1"/>
  </r>
  <r>
    <s v="13-08-2026"/>
    <s v="XYZ Luxury"/>
    <s v="Growify_XYZ LuxuryP_Search_India-12/12/25"/>
    <s v="ENABLED"/>
    <n v="436.92404800000003"/>
    <n v="55"/>
    <n v="118"/>
    <n v="7.9440739999999996"/>
    <n v="0.46610200000000002"/>
    <n v="3702.746169"/>
    <n v="0"/>
    <n v="0"/>
    <s v="India"/>
    <s v="India"/>
    <x v="1"/>
  </r>
  <r>
    <s v="14-08-2026"/>
    <s v="XYZ Luxury"/>
    <s v="Growify_XYZ LuxuryP_Search_India-12/12/25"/>
    <s v="ENABLED"/>
    <n v="398.60062099999999"/>
    <n v="58"/>
    <n v="128"/>
    <n v="6.8724249999999998"/>
    <n v="0.453125"/>
    <n v="3114.067352"/>
    <n v="0"/>
    <n v="0"/>
    <s v="India"/>
    <s v="India"/>
    <x v="1"/>
  </r>
  <r>
    <s v="15-08-2026"/>
    <s v="XYZ Luxury"/>
    <s v="Growify_XYZ LuxuryP_Search_India-12/12/25"/>
    <s v="ENABLED"/>
    <n v="1288.196539"/>
    <n v="92"/>
    <n v="191"/>
    <n v="14.002136"/>
    <n v="0.48167500000000002"/>
    <n v="6744.4844970000004"/>
    <n v="1"/>
    <n v="3400"/>
    <s v="India"/>
    <s v="India"/>
    <x v="1"/>
  </r>
  <r>
    <s v="16-08-2026"/>
    <s v="XYZ Luxury"/>
    <s v="Growify_XYZ LuxuryP_Search_India-12/12/25"/>
    <s v="ENABLED"/>
    <n v="366.179258"/>
    <n v="67"/>
    <n v="179"/>
    <n v="5.4653619999999998"/>
    <n v="0.37430200000000002"/>
    <n v="2045.6941790000001"/>
    <n v="1"/>
    <n v="1500"/>
    <s v="India"/>
    <s v="India"/>
    <x v="1"/>
  </r>
  <r>
    <s v="17-08-2026"/>
    <s v="XYZ Luxury"/>
    <s v="Growify_XYZ LuxuryP_Search_India-12/12/25"/>
    <s v="ENABLED"/>
    <n v="430.23263400000002"/>
    <n v="73"/>
    <n v="179"/>
    <n v="5.8935979999999999"/>
    <n v="0.40782099999999999"/>
    <n v="2403.5342679999999"/>
    <n v="0"/>
    <n v="0"/>
    <s v="India"/>
    <s v="India"/>
    <x v="1"/>
  </r>
  <r>
    <s v="18-08-2026"/>
    <s v="XYZ Luxury"/>
    <s v="Growify_XYZ LuxuryP_Search_India-12/12/25"/>
    <s v="ENABLED"/>
    <n v="1005.60874"/>
    <n v="82"/>
    <n v="147"/>
    <n v="12.263521000000001"/>
    <n v="0.55782299999999996"/>
    <n v="6840.8757820000001"/>
    <n v="0"/>
    <n v="0"/>
    <s v="India"/>
    <s v="India"/>
    <x v="1"/>
  </r>
  <r>
    <s v="19-08-2026"/>
    <s v="XYZ Luxury"/>
    <s v="Growify_XYZ LuxuryP_Search_India-12/12/25"/>
    <s v="ENABLED"/>
    <n v="1114.9450750000001"/>
    <n v="90"/>
    <n v="231"/>
    <n v="12.388279000000001"/>
    <n v="0.38961000000000001"/>
    <n v="4826.6020559999997"/>
    <n v="2"/>
    <n v="12040"/>
    <s v="India"/>
    <s v="India"/>
    <x v="1"/>
  </r>
  <r>
    <s v="20-08-2026"/>
    <s v="XYZ Luxury"/>
    <s v="Growify_XYZ LuxuryP_Search_India-12/12/25"/>
    <s v="ENABLED"/>
    <n v="253.67216500000001"/>
    <n v="64"/>
    <n v="152"/>
    <n v="3.9636279999999999"/>
    <n v="0.42105300000000001"/>
    <n v="1668.895822"/>
    <n v="1"/>
    <n v="4999"/>
    <s v="India"/>
    <s v="India"/>
    <x v="1"/>
  </r>
  <r>
    <s v="21-08-2026"/>
    <s v="XYZ Luxury"/>
    <s v="Growify_XYZ LuxuryP_Search_India-12/12/25"/>
    <s v="ENABLED"/>
    <n v="151.353488"/>
    <n v="38"/>
    <n v="103"/>
    <n v="3.9829870000000001"/>
    <n v="0.36893199999999998"/>
    <n v="1469.4513400000001"/>
    <n v="0"/>
    <n v="0"/>
    <s v="India"/>
    <s v="India"/>
    <x v="1"/>
  </r>
  <r>
    <s v="22-08-2026"/>
    <s v="XYZ Luxury"/>
    <s v="Growify_XYZ LuxuryP_Search_India-12/12/25"/>
    <s v="ENABLED"/>
    <n v="798.38281300000006"/>
    <n v="63"/>
    <n v="136"/>
    <n v="12.672743000000001"/>
    <n v="0.46323500000000001"/>
    <n v="5870.4618600000003"/>
    <n v="0"/>
    <n v="0"/>
    <s v="India"/>
    <s v="India"/>
    <x v="1"/>
  </r>
  <r>
    <s v="23-08-2026"/>
    <s v="XYZ Luxury"/>
    <s v="Growify_XYZ LuxuryP_Search_India-12/12/25"/>
    <s v="ENABLED"/>
    <n v="591.48017400000003"/>
    <n v="80"/>
    <n v="206"/>
    <n v="7.3935019999999998"/>
    <n v="0.38834999999999997"/>
    <n v="2871.2629809999999"/>
    <n v="1"/>
    <n v="5320"/>
    <s v="India"/>
    <s v="India"/>
    <x v="1"/>
  </r>
  <r>
    <s v="24-08-2026"/>
    <s v="XYZ Luxury"/>
    <s v="Growify_XYZ LuxuryP_Search_India-12/12/25"/>
    <s v="ENABLED"/>
    <n v="414.82263699999999"/>
    <n v="59"/>
    <n v="128"/>
    <n v="7.0308919999999997"/>
    <n v="0.46093800000000001"/>
    <n v="3240.8018520000001"/>
    <n v="0"/>
    <n v="0"/>
    <s v="India"/>
    <s v="India"/>
    <x v="1"/>
  </r>
  <r>
    <s v="25-08-2026"/>
    <s v="XYZ Luxury"/>
    <s v="Growify_XYZ LuxuryP_Search_India-12/12/25"/>
    <s v="ENABLED"/>
    <n v="338.91827899999998"/>
    <n v="67"/>
    <n v="167"/>
    <n v="5.0584819999999997"/>
    <n v="0.401198"/>
    <n v="2029.4507719999999"/>
    <n v="0"/>
    <n v="0"/>
    <s v="India"/>
    <s v="India"/>
    <x v="1"/>
  </r>
  <r>
    <s v="26-08-2026"/>
    <s v="XYZ Luxury"/>
    <s v="Growify_XYZ LuxuryP_Search_India-12/12/25"/>
    <s v="ENABLED"/>
    <n v="274.68103200000002"/>
    <n v="58"/>
    <n v="185"/>
    <n v="4.7358799999999999"/>
    <n v="0.31351400000000001"/>
    <n v="1484.7623349999999"/>
    <n v="0"/>
    <n v="0"/>
    <s v="India"/>
    <s v="India"/>
    <x v="1"/>
  </r>
  <r>
    <s v="27-08-2026"/>
    <s v="XYZ Luxury"/>
    <s v="Growify_XYZ LuxuryP_Search_India-12/12/25"/>
    <s v="ENABLED"/>
    <n v="261.14532700000001"/>
    <n v="33"/>
    <n v="96"/>
    <n v="7.9134950000000002"/>
    <n v="0.34375"/>
    <n v="2720.2638229999998"/>
    <n v="0"/>
    <n v="0"/>
    <s v="India"/>
    <s v="India"/>
    <x v="1"/>
  </r>
  <r>
    <d v="2026-04-08T00:00:00"/>
    <s v="XYZ Luxury"/>
    <s v="Growify_P.max_HP_EOSS_Ind"/>
    <s v="ENABLED"/>
    <n v="2.7800999999999999E-2"/>
    <n v="0"/>
    <n v="2"/>
    <m/>
    <n v="0"/>
    <n v="13.900499999999999"/>
    <n v="0"/>
    <n v="0"/>
    <s v="India"/>
    <s v="India"/>
    <x v="1"/>
  </r>
  <r>
    <d v="2026-05-08T00:00:00"/>
    <s v="XYZ Luxury"/>
    <s v="Growify_P.max_HP_EOSS_Ind"/>
    <s v="ENABLED"/>
    <n v="950.67281000000003"/>
    <n v="212"/>
    <n v="7004"/>
    <n v="4.4843060000000001"/>
    <n v="3.0268E-2"/>
    <n v="135.73284000000001"/>
    <n v="0"/>
    <n v="0"/>
    <s v="India"/>
    <s v="India"/>
    <x v="1"/>
  </r>
  <r>
    <d v="2026-06-08T00:00:00"/>
    <s v="XYZ Luxury"/>
    <s v="Growify_P.max_HP_EOSS_Ind"/>
    <s v="ENABLED"/>
    <n v="951.17633000000001"/>
    <n v="159"/>
    <n v="6980"/>
    <n v="5.9822410000000001"/>
    <n v="2.2779000000000001E-2"/>
    <n v="136.271681"/>
    <n v="0"/>
    <n v="0"/>
    <s v="India"/>
    <s v="India"/>
    <x v="1"/>
  </r>
  <r>
    <d v="2026-07-08T00:00:00"/>
    <s v="XYZ Luxury"/>
    <s v="Growify_P.max_HP_EOSS_Ind"/>
    <s v="ENABLED"/>
    <n v="983.02674400000001"/>
    <n v="232"/>
    <n v="8309"/>
    <n v="4.2371840000000001"/>
    <n v="2.7921999999999999E-2"/>
    <n v="118.308671"/>
    <n v="0.1"/>
    <n v="357.26823000000002"/>
    <s v="India"/>
    <s v="India"/>
    <x v="1"/>
  </r>
  <r>
    <d v="2026-08-08T00:00:00"/>
    <s v="XYZ Luxury"/>
    <s v="Growify_P.max_HP_EOSS_Ind"/>
    <s v="ENABLED"/>
    <n v="1006.0453220000001"/>
    <n v="240"/>
    <n v="8437"/>
    <n v="4.1918559999999996"/>
    <n v="2.8445999999999999E-2"/>
    <n v="119.24206700000001"/>
    <n v="0.25"/>
    <n v="750"/>
    <s v="India"/>
    <s v="India"/>
    <x v="1"/>
  </r>
  <r>
    <d v="2026-09-08T00:00:00"/>
    <s v="XYZ Luxury"/>
    <s v="Growify_P.max_HP_EOSS_Ind"/>
    <s v="ENABLED"/>
    <n v="762.889453"/>
    <n v="136"/>
    <n v="5402"/>
    <n v="5.6094809999999997"/>
    <n v="2.5176E-2"/>
    <n v="141.22352000000001"/>
    <n v="0"/>
    <n v="0"/>
    <s v="India"/>
    <s v="India"/>
    <x v="1"/>
  </r>
  <r>
    <d v="2026-10-08T00:00:00"/>
    <s v="XYZ Luxury"/>
    <s v="Growify_P.max_HP_EOSS_Ind"/>
    <s v="ENABLED"/>
    <n v="498.08121699999998"/>
    <n v="81"/>
    <n v="3784"/>
    <n v="6.1491509999999998"/>
    <n v="2.1406000000000001E-2"/>
    <n v="131.628229"/>
    <n v="0"/>
    <n v="0"/>
    <s v="India"/>
    <s v="India"/>
    <x v="1"/>
  </r>
  <r>
    <d v="2026-11-08T00:00:00"/>
    <s v="XYZ Luxury"/>
    <s v="Growify_P.max_HP_EOSS_Ind"/>
    <s v="ENABLED"/>
    <n v="1009.559846"/>
    <n v="34"/>
    <n v="1158"/>
    <n v="29.692937000000001"/>
    <n v="2.9361000000000002E-2"/>
    <n v="871.81333900000004"/>
    <n v="0"/>
    <n v="0"/>
    <s v="India"/>
    <s v="India"/>
    <x v="1"/>
  </r>
  <r>
    <d v="2026-12-08T00:00:00"/>
    <s v="XYZ Luxury"/>
    <s v="Growify_P.max_HP_EOSS_Ind"/>
    <s v="ENABLED"/>
    <n v="164.73358899999999"/>
    <n v="37"/>
    <n v="1312"/>
    <n v="4.4522589999999997"/>
    <n v="2.8201E-2"/>
    <n v="125.559138"/>
    <n v="1"/>
    <n v="9085.92"/>
    <s v="India"/>
    <s v="India"/>
    <x v="1"/>
  </r>
  <r>
    <s v="13-08-2026"/>
    <s v="XYZ Luxury"/>
    <s v="Growify_P.max_HP_EOSS_Ind"/>
    <s v="ENABLED"/>
    <n v="331.45738899999998"/>
    <n v="57"/>
    <n v="3361"/>
    <n v="5.815042"/>
    <n v="1.6958999999999998E-2"/>
    <n v="98.618682000000007"/>
    <n v="0"/>
    <n v="0"/>
    <s v="India"/>
    <s v="India"/>
    <x v="1"/>
  </r>
  <r>
    <s v="14-08-2026"/>
    <s v="XYZ Luxury"/>
    <s v="Growify_P.max_HP_EOSS_Ind"/>
    <s v="ENABLED"/>
    <n v="592.62098900000001"/>
    <n v="98"/>
    <n v="3771"/>
    <n v="6.0471529999999998"/>
    <n v="2.5988000000000001E-2"/>
    <n v="157.15221099999999"/>
    <n v="1.96"/>
    <n v="9355.2173999999995"/>
    <s v="India"/>
    <s v="India"/>
    <x v="1"/>
  </r>
  <r>
    <s v="15-08-2026"/>
    <s v="XYZ Luxury"/>
    <s v="Growify_P.max_HP_EOSS_Ind"/>
    <s v="ENABLED"/>
    <n v="422.852082"/>
    <n v="58"/>
    <n v="2263"/>
    <n v="7.2905530000000001"/>
    <n v="2.563E-2"/>
    <n v="186.85465400000001"/>
    <n v="1.19"/>
    <n v="4637.6530199999997"/>
    <s v="India"/>
    <s v="India"/>
    <x v="1"/>
  </r>
  <r>
    <s v="16-08-2026"/>
    <s v="XYZ Luxury"/>
    <s v="Growify_P.max_HP_EOSS_Ind"/>
    <s v="ENABLED"/>
    <n v="547.33860100000004"/>
    <n v="48"/>
    <n v="1720"/>
    <n v="11.402888000000001"/>
    <n v="2.7907000000000001E-2"/>
    <n v="318.22011700000002"/>
    <n v="0.47"/>
    <n v="3516.8325"/>
    <s v="India"/>
    <s v="India"/>
    <x v="1"/>
  </r>
  <r>
    <s v="17-08-2026"/>
    <s v="XYZ Luxury"/>
    <s v="Growify_P.max_HP_EOSS_Ind"/>
    <s v="ENABLED"/>
    <n v="445.66398700000002"/>
    <n v="70"/>
    <n v="3425"/>
    <n v="6.3666280000000004"/>
    <n v="2.0438000000000001E-2"/>
    <n v="130.12087199999999"/>
    <n v="1"/>
    <n v="5940"/>
    <s v="India"/>
    <s v="India"/>
    <x v="1"/>
  </r>
  <r>
    <s v="18-08-2026"/>
    <s v="XYZ Luxury"/>
    <s v="Growify_P.max_HP_EOSS_Ind"/>
    <s v="ENABLED"/>
    <n v="407.95146999999997"/>
    <n v="59"/>
    <n v="3008"/>
    <n v="6.9144319999999997"/>
    <n v="1.9613999999999999E-2"/>
    <n v="135.622164"/>
    <n v="0"/>
    <n v="0"/>
    <s v="India"/>
    <s v="India"/>
    <x v="1"/>
  </r>
  <r>
    <s v="19-08-2026"/>
    <s v="XYZ Luxury"/>
    <s v="Growify_P.max_HP_EOSS_Ind"/>
    <s v="ENABLED"/>
    <n v="484.40466700000002"/>
    <n v="61"/>
    <n v="2070"/>
    <n v="7.9410600000000002"/>
    <n v="2.9468999999999999E-2"/>
    <n v="234.01191600000001"/>
    <n v="0"/>
    <n v="0"/>
    <s v="India"/>
    <s v="India"/>
    <x v="1"/>
  </r>
  <r>
    <s v="20-08-2026"/>
    <s v="XYZ Luxury"/>
    <s v="Growify_P.max_HP_EOSS_Ind"/>
    <s v="ENABLED"/>
    <n v="495.392584"/>
    <n v="100"/>
    <n v="3077"/>
    <n v="4.9539260000000001"/>
    <n v="3.2499E-2"/>
    <n v="160.99856500000001"/>
    <n v="0"/>
    <n v="0"/>
    <s v="India"/>
    <s v="India"/>
    <x v="1"/>
  </r>
  <r>
    <s v="21-08-2026"/>
    <s v="XYZ Luxury"/>
    <s v="Growify_P.max_HP_EOSS_Ind"/>
    <s v="ENABLED"/>
    <n v="518.02464299999997"/>
    <n v="104"/>
    <n v="3378"/>
    <n v="4.9810059999999998"/>
    <n v="3.0786999999999998E-2"/>
    <n v="153.35247000000001"/>
    <n v="0"/>
    <n v="0"/>
    <s v="India"/>
    <s v="India"/>
    <x v="1"/>
  </r>
  <r>
    <s v="22-08-2026"/>
    <s v="XYZ Luxury"/>
    <s v="Growify_P.max_HP_EOSS_Ind"/>
    <s v="ENABLED"/>
    <n v="483.290978"/>
    <n v="74"/>
    <n v="3183"/>
    <n v="6.5309590000000002"/>
    <n v="2.3248999999999999E-2"/>
    <n v="151.83505400000001"/>
    <n v="0"/>
    <n v="0"/>
    <s v="India"/>
    <s v="India"/>
    <x v="1"/>
  </r>
  <r>
    <s v="23-08-2026"/>
    <s v="XYZ Luxury"/>
    <s v="Growify_P.max_HP_EOSS_Ind"/>
    <s v="ENABLED"/>
    <n v="529.35843399999999"/>
    <n v="32"/>
    <n v="811"/>
    <n v="16.542451"/>
    <n v="3.9456999999999999E-2"/>
    <n v="652.72310000000004"/>
    <n v="0"/>
    <n v="0"/>
    <s v="India"/>
    <s v="India"/>
    <x v="1"/>
  </r>
  <r>
    <s v="24-08-2026"/>
    <s v="XYZ Luxury"/>
    <s v="Growify_P.max_HP_EOSS_Ind"/>
    <s v="ENABLED"/>
    <n v="325.26831600000003"/>
    <n v="98"/>
    <n v="3853"/>
    <n v="3.319064"/>
    <n v="2.5434999999999999E-2"/>
    <n v="84.419494999999998"/>
    <n v="0"/>
    <n v="0"/>
    <s v="India"/>
    <s v="India"/>
    <x v="1"/>
  </r>
  <r>
    <s v="25-08-2026"/>
    <s v="XYZ Luxury"/>
    <s v="Growify_P.max_HP_EOSS_Ind"/>
    <s v="ENABLED"/>
    <n v="278.86377299999998"/>
    <n v="55"/>
    <n v="2383"/>
    <n v="5.0702499999999997"/>
    <n v="2.308E-2"/>
    <n v="117.02214600000001"/>
    <n v="0"/>
    <n v="0"/>
    <s v="India"/>
    <s v="India"/>
    <x v="1"/>
  </r>
  <r>
    <s v="26-08-2026"/>
    <s v="XYZ Luxury"/>
    <s v="Growify_P.max_HP_EOSS_Ind"/>
    <s v="ENABLED"/>
    <n v="299.07530200000002"/>
    <n v="55"/>
    <n v="2861"/>
    <n v="5.4377329999999997"/>
    <n v="1.9224000000000002E-2"/>
    <n v="104.53523300000001"/>
    <n v="1"/>
    <n v="9174"/>
    <s v="India"/>
    <s v="India"/>
    <x v="1"/>
  </r>
  <r>
    <s v="27-08-2026"/>
    <s v="XYZ Luxury"/>
    <s v="Growify_P.max_HP_EOSS_Ind"/>
    <s v="ENABLED"/>
    <n v="220.66217499999999"/>
    <n v="46"/>
    <n v="1508"/>
    <n v="4.7970040000000003"/>
    <n v="3.0504E-2"/>
    <n v="146.32770199999999"/>
    <n v="0"/>
    <n v="0"/>
    <s v="India"/>
    <s v="India"/>
    <x v="1"/>
  </r>
  <r>
    <d v="2026-05-08T00:00:00"/>
    <s v="XYZ Luxury"/>
    <s v="Growify_Performance Max_Listing_IND"/>
    <s v="ENABLED"/>
    <n v="999.215236"/>
    <n v="237"/>
    <n v="10674"/>
    <n v="4.2160979999999997"/>
    <n v="2.2203000000000001E-2"/>
    <n v="93.612070000000003"/>
    <n v="0"/>
    <n v="0"/>
    <s v="India"/>
    <s v="India"/>
    <x v="1"/>
  </r>
  <r>
    <d v="2026-06-08T00:00:00"/>
    <s v="XYZ Luxury"/>
    <s v="Growify_Performance Max_Listing_IND"/>
    <s v="ENABLED"/>
    <n v="898.68465100000003"/>
    <n v="250"/>
    <n v="11871"/>
    <n v="3.5947390000000001"/>
    <n v="2.1059999999999999E-2"/>
    <n v="75.704207999999994"/>
    <n v="0"/>
    <n v="0"/>
    <s v="India"/>
    <s v="India"/>
    <x v="1"/>
  </r>
  <r>
    <d v="2026-07-08T00:00:00"/>
    <s v="XYZ Luxury"/>
    <s v="Growify_Performance Max_Listing_IND"/>
    <s v="ENABLED"/>
    <n v="849.32607399999995"/>
    <n v="317"/>
    <n v="13436"/>
    <n v="2.679262"/>
    <n v="2.3592999999999999E-2"/>
    <n v="63.212718000000002"/>
    <n v="1.5"/>
    <n v="23499.955999999998"/>
    <s v="India"/>
    <s v="India"/>
    <x v="1"/>
  </r>
  <r>
    <d v="2026-08-08T00:00:00"/>
    <s v="XYZ Luxury"/>
    <s v="Growify_Performance Max_Listing_IND"/>
    <s v="ENABLED"/>
    <n v="874.17380100000003"/>
    <n v="386"/>
    <n v="16238"/>
    <n v="2.2646989999999998"/>
    <n v="2.3771E-2"/>
    <n v="53.835065999999998"/>
    <n v="0.25"/>
    <n v="750"/>
    <s v="India"/>
    <s v="India"/>
    <x v="1"/>
  </r>
  <r>
    <d v="2026-09-08T00:00:00"/>
    <s v="XYZ Luxury"/>
    <s v="Growify_Performance Max_Listing_IND"/>
    <s v="ENABLED"/>
    <n v="905.30264699999998"/>
    <n v="365"/>
    <n v="18862"/>
    <n v="2.4802810000000002"/>
    <n v="1.9351E-2"/>
    <n v="47.996110999999999"/>
    <n v="0.01"/>
    <n v="36.88344"/>
    <s v="India"/>
    <s v="India"/>
    <x v="1"/>
  </r>
  <r>
    <d v="2026-10-08T00:00:00"/>
    <s v="XYZ Luxury"/>
    <s v="Growify_Performance Max_Listing_IND"/>
    <s v="ENABLED"/>
    <n v="544.83801700000004"/>
    <n v="188"/>
    <n v="7747"/>
    <n v="2.898075"/>
    <n v="2.4267E-2"/>
    <n v="70.328903999999994"/>
    <n v="1"/>
    <n v="11114.1"/>
    <s v="India"/>
    <s v="India"/>
    <x v="1"/>
  </r>
  <r>
    <d v="2026-11-08T00:00:00"/>
    <s v="XYZ Luxury"/>
    <s v="Growify_Performance Max_Listing_IND"/>
    <s v="ENABLED"/>
    <n v="426.43270799999999"/>
    <n v="173"/>
    <n v="7894"/>
    <n v="2.4649290000000001"/>
    <n v="2.1915E-2"/>
    <n v="54.019852"/>
    <n v="1"/>
    <n v="6000"/>
    <s v="India"/>
    <s v="India"/>
    <x v="1"/>
  </r>
  <r>
    <d v="2026-12-08T00:00:00"/>
    <s v="XYZ Luxury"/>
    <s v="Growify_Performance Max_Listing_IND"/>
    <s v="ENABLED"/>
    <n v="191.506754"/>
    <n v="107"/>
    <n v="5224"/>
    <n v="1.7897829999999999"/>
    <n v="2.0482E-2"/>
    <n v="36.659025999999997"/>
    <n v="0"/>
    <n v="0"/>
    <s v="India"/>
    <s v="India"/>
    <x v="1"/>
  </r>
  <r>
    <s v="13-08-2026"/>
    <s v="XYZ Luxury"/>
    <s v="Growify_Performance Max_Listing_IND"/>
    <s v="ENABLED"/>
    <n v="791.16994699999998"/>
    <n v="262"/>
    <n v="15235"/>
    <n v="3.019733"/>
    <n v="1.7197E-2"/>
    <n v="51.931075999999997"/>
    <n v="0"/>
    <n v="0"/>
    <s v="India"/>
    <s v="India"/>
    <x v="1"/>
  </r>
  <r>
    <s v="14-08-2026"/>
    <s v="XYZ Luxury"/>
    <s v="Growify_Performance Max_Listing_IND"/>
    <s v="ENABLED"/>
    <n v="533.80608299999994"/>
    <n v="185"/>
    <n v="10123"/>
    <n v="2.8854380000000002"/>
    <n v="1.8275E-2"/>
    <n v="52.732005000000001"/>
    <n v="0"/>
    <n v="0"/>
    <s v="India"/>
    <s v="India"/>
    <x v="1"/>
  </r>
  <r>
    <s v="15-08-2026"/>
    <s v="XYZ Luxury"/>
    <s v="Growify_Performance Max_Listing_IND"/>
    <s v="ENABLED"/>
    <n v="563.51869799999997"/>
    <n v="214"/>
    <n v="10037"/>
    <n v="2.6332650000000002"/>
    <n v="2.1321E-2"/>
    <n v="56.144136000000003"/>
    <n v="0"/>
    <n v="0"/>
    <s v="India"/>
    <s v="India"/>
    <x v="1"/>
  </r>
  <r>
    <s v="16-08-2026"/>
    <s v="XYZ Luxury"/>
    <s v="Growify_Performance Max_Listing_IND"/>
    <s v="ENABLED"/>
    <n v="526.29829199999995"/>
    <n v="164"/>
    <n v="7396"/>
    <n v="3.209136"/>
    <n v="2.2173999999999999E-2"/>
    <n v="71.159856000000005"/>
    <n v="0.47"/>
    <n v="3516.8474999999999"/>
    <s v="India"/>
    <s v="India"/>
    <x v="1"/>
  </r>
  <r>
    <s v="17-08-2026"/>
    <s v="XYZ Luxury"/>
    <s v="Growify_Performance Max_Listing_IND"/>
    <s v="ENABLED"/>
    <n v="486.08432399999998"/>
    <n v="212"/>
    <n v="10372"/>
    <n v="2.2928510000000002"/>
    <n v="2.044E-2"/>
    <n v="46.865051999999999"/>
    <n v="1"/>
    <n v="3960"/>
    <s v="India"/>
    <s v="India"/>
    <x v="1"/>
  </r>
  <r>
    <s v="18-08-2026"/>
    <s v="XYZ Luxury"/>
    <s v="Growify_Performance Max_Listing_IND"/>
    <s v="ENABLED"/>
    <n v="460.88536099999999"/>
    <n v="154"/>
    <n v="6538"/>
    <n v="2.9927619999999999"/>
    <n v="2.3555E-2"/>
    <n v="70.493324999999999"/>
    <n v="0"/>
    <n v="0"/>
    <s v="India"/>
    <s v="India"/>
    <x v="1"/>
  </r>
  <r>
    <s v="19-08-2026"/>
    <s v="XYZ Luxury"/>
    <s v="Growify_Performance Max_Listing_IND"/>
    <s v="ENABLED"/>
    <n v="587.64270999999997"/>
    <n v="226"/>
    <n v="9106"/>
    <n v="2.6001889999999999"/>
    <n v="2.4819000000000001E-2"/>
    <n v="64.533572000000007"/>
    <n v="0"/>
    <n v="0"/>
    <s v="India"/>
    <s v="India"/>
    <x v="1"/>
  </r>
  <r>
    <s v="20-08-2026"/>
    <s v="XYZ Luxury"/>
    <s v="Growify_Performance Max_Listing_IND"/>
    <s v="ENABLED"/>
    <n v="435.43836700000003"/>
    <n v="226"/>
    <n v="8852"/>
    <n v="1.9267179999999999"/>
    <n v="2.5531000000000002E-2"/>
    <n v="49.190958999999999"/>
    <n v="0"/>
    <n v="0"/>
    <s v="India"/>
    <s v="India"/>
    <x v="1"/>
  </r>
  <r>
    <s v="21-08-2026"/>
    <s v="XYZ Luxury"/>
    <s v="Growify_Performance Max_Listing_IND"/>
    <s v="ENABLED"/>
    <n v="422.84504099999998"/>
    <n v="188"/>
    <n v="7799"/>
    <n v="2.2491759999999998"/>
    <n v="2.4105999999999999E-2"/>
    <n v="54.217854000000003"/>
    <n v="0"/>
    <n v="0"/>
    <s v="India"/>
    <s v="India"/>
    <x v="1"/>
  </r>
  <r>
    <s v="22-08-2026"/>
    <s v="XYZ Luxury"/>
    <s v="Growify_Performance Max_Listing_IND"/>
    <s v="ENABLED"/>
    <n v="340.39269000000002"/>
    <n v="175"/>
    <n v="6749"/>
    <n v="1.945101"/>
    <n v="2.5930000000000002E-2"/>
    <n v="50.436019000000002"/>
    <n v="0"/>
    <n v="0"/>
    <s v="India"/>
    <s v="India"/>
    <x v="1"/>
  </r>
  <r>
    <s v="23-08-2026"/>
    <s v="XYZ Luxury"/>
    <s v="Growify_Performance Max_Listing_IND"/>
    <s v="ENABLED"/>
    <n v="696.40617799999995"/>
    <n v="325"/>
    <n v="14417"/>
    <n v="2.1427879999999999"/>
    <n v="2.2543000000000001E-2"/>
    <n v="48.304513999999998"/>
    <n v="1"/>
    <n v="4999"/>
    <s v="India"/>
    <s v="India"/>
    <x v="1"/>
  </r>
  <r>
    <s v="24-08-2026"/>
    <s v="XYZ Luxury"/>
    <s v="Growify_Performance Max_Listing_IND"/>
    <s v="ENABLED"/>
    <n v="394.67655200000002"/>
    <n v="222"/>
    <n v="8761"/>
    <n v="1.777822"/>
    <n v="2.5340000000000001E-2"/>
    <n v="45.049258000000002"/>
    <n v="0.61"/>
    <n v="2200.9270799999999"/>
    <s v="India"/>
    <s v="India"/>
    <x v="1"/>
  </r>
  <r>
    <s v="25-08-2026"/>
    <s v="XYZ Luxury"/>
    <s v="Growify_Performance Max_Listing_IND"/>
    <s v="ENABLED"/>
    <n v="370.37862000000001"/>
    <n v="206"/>
    <n v="7743"/>
    <n v="1.7979540000000001"/>
    <n v="2.6605E-2"/>
    <n v="47.833995000000002"/>
    <n v="0"/>
    <n v="0"/>
    <s v="India"/>
    <s v="India"/>
    <x v="1"/>
  </r>
  <r>
    <s v="26-08-2026"/>
    <s v="XYZ Luxury"/>
    <s v="Growify_Performance Max_Listing_IND"/>
    <s v="ENABLED"/>
    <n v="634.91929500000003"/>
    <n v="243"/>
    <n v="10395"/>
    <n v="2.6128369999999999"/>
    <n v="2.3376999999999998E-2"/>
    <n v="61.079296999999997"/>
    <n v="0"/>
    <n v="0"/>
    <s v="India"/>
    <s v="India"/>
    <x v="1"/>
  </r>
  <r>
    <s v="27-08-2026"/>
    <s v="XYZ Luxury"/>
    <s v="Growify_Performance Max_Listing_IND"/>
    <s v="ENABLED"/>
    <n v="355.77230900000001"/>
    <n v="107"/>
    <n v="5724"/>
    <n v="3.3249749999999998"/>
    <n v="1.8693000000000001E-2"/>
    <n v="62.154491"/>
    <n v="0"/>
    <n v="0"/>
    <s v="India"/>
    <s v="India"/>
    <x v="1"/>
  </r>
  <r>
    <d v="2026-05-08T00:00:00"/>
    <s v="XYZ Luxury"/>
    <s v="Growify_XYZ LuxuryP_Search_INT-5/21/26"/>
    <s v="ENABLED"/>
    <n v="1.29"/>
    <n v="1"/>
    <n v="4"/>
    <n v="1.29"/>
    <n v="0.25"/>
    <n v="322.5"/>
    <n v="0"/>
    <n v="0"/>
    <s v="Rest of the World"/>
    <s v="United Kingdom"/>
    <x v="4"/>
  </r>
  <r>
    <d v="2026-06-08T00:00:00"/>
    <s v="XYZ Luxury"/>
    <s v="Growify_XYZ LuxuryP_Search_INT-5/21/26"/>
    <s v="ENABLED"/>
    <n v="267.93"/>
    <n v="5"/>
    <n v="9"/>
    <n v="53.585999999999999"/>
    <n v="0.55555600000000005"/>
    <n v="29770"/>
    <n v="0"/>
    <n v="0"/>
    <s v="Rest of the World"/>
    <s v="United Kingdom"/>
    <x v="4"/>
  </r>
  <r>
    <d v="2026-07-08T00:00:00"/>
    <s v="XYZ Luxury"/>
    <s v="Growify_XYZ LuxuryP_Search_INT-5/21/26"/>
    <s v="ENABLED"/>
    <n v="2.58"/>
    <n v="2"/>
    <n v="7"/>
    <n v="1.29"/>
    <n v="0.28571400000000002"/>
    <n v="368.57142900000002"/>
    <n v="0"/>
    <n v="0"/>
    <s v="Rest of the World"/>
    <s v="United Kingdom"/>
    <x v="4"/>
  </r>
  <r>
    <d v="2026-08-08T00:00:00"/>
    <s v="XYZ Luxury"/>
    <s v="Growify_XYZ LuxuryP_Search_INT-5/21/26"/>
    <s v="ENABLED"/>
    <n v="2.58"/>
    <n v="2"/>
    <n v="3"/>
    <n v="1.29"/>
    <n v="0.66666700000000001"/>
    <n v="860"/>
    <n v="0"/>
    <n v="0"/>
    <s v="Rest of the World"/>
    <s v="United Kingdom"/>
    <x v="4"/>
  </r>
  <r>
    <d v="2026-09-08T00:00:00"/>
    <s v="XYZ Luxury"/>
    <s v="Growify_XYZ LuxuryP_Search_INT-5/21/26"/>
    <s v="ENABLED"/>
    <n v="132.34"/>
    <n v="6"/>
    <n v="11"/>
    <n v="22.056667000000001"/>
    <n v="0.54545500000000002"/>
    <n v="12030.909089999999"/>
    <n v="0"/>
    <n v="0"/>
    <s v="Rest of the World"/>
    <s v="United Kingdom"/>
    <x v="4"/>
  </r>
  <r>
    <d v="2026-10-08T00:00:00"/>
    <s v="XYZ Luxury"/>
    <s v="Growify_XYZ LuxuryP_Search_INT-5/21/26"/>
    <s v="ENABLED"/>
    <n v="200.75"/>
    <n v="4"/>
    <n v="8"/>
    <n v="50.1875"/>
    <n v="0.5"/>
    <n v="25093.75"/>
    <n v="0"/>
    <n v="0"/>
    <s v="Rest of the World"/>
    <s v="United Kingdom"/>
    <x v="4"/>
  </r>
  <r>
    <d v="2026-11-08T00:00:00"/>
    <s v="XYZ Luxury"/>
    <s v="Growify_XYZ LuxuryP_Search_INT-5/21/26"/>
    <s v="ENABLED"/>
    <n v="471.77"/>
    <n v="3"/>
    <n v="10"/>
    <n v="157.25666699999999"/>
    <n v="0.3"/>
    <n v="47177"/>
    <n v="0"/>
    <n v="0"/>
    <s v="Rest of the World"/>
    <s v="United Kingdom"/>
    <x v="4"/>
  </r>
  <r>
    <d v="2026-12-08T00:00:00"/>
    <s v="XYZ Luxury"/>
    <s v="Growify_XYZ LuxuryP_Search_INT-5/21/26"/>
    <s v="ENABLED"/>
    <n v="69.59"/>
    <n v="3"/>
    <n v="8"/>
    <n v="23.196667000000001"/>
    <n v="0.375"/>
    <n v="8698.75"/>
    <n v="0"/>
    <n v="0"/>
    <s v="Rest of the World"/>
    <s v="United Kingdom"/>
    <x v="4"/>
  </r>
  <r>
    <s v="13-08-2026"/>
    <s v="XYZ Luxury"/>
    <s v="Growify_XYZ LuxuryP_Search_INT-5/21/26"/>
    <s v="ENABLED"/>
    <n v="2.58"/>
    <n v="2"/>
    <n v="6"/>
    <n v="1.29"/>
    <n v="0.33333299999999999"/>
    <n v="430"/>
    <n v="0"/>
    <n v="0"/>
    <s v="Rest of the World"/>
    <s v="United Kingdom"/>
    <x v="4"/>
  </r>
  <r>
    <s v="14-08-2026"/>
    <s v="XYZ Luxury"/>
    <s v="Growify_XYZ LuxuryP_Search_INT-5/21/26"/>
    <s v="ENABLED"/>
    <n v="139.15"/>
    <n v="3"/>
    <n v="8"/>
    <n v="46.383333"/>
    <n v="0.375"/>
    <n v="17393.75"/>
    <n v="0"/>
    <n v="0"/>
    <s v="Rest of the World"/>
    <s v="United Kingdom"/>
    <x v="4"/>
  </r>
  <r>
    <s v="15-08-2026"/>
    <s v="XYZ Luxury"/>
    <s v="Growify_XYZ LuxuryP_Search_INT-5/21/26"/>
    <s v="ENABLED"/>
    <n v="155.094514"/>
    <n v="4"/>
    <n v="9"/>
    <n v="38.773629"/>
    <n v="0.44444400000000001"/>
    <n v="17232.72378"/>
    <n v="0"/>
    <n v="0"/>
    <s v="Rest of the World"/>
    <s v="United Kingdom"/>
    <x v="4"/>
  </r>
  <r>
    <s v="16-08-2026"/>
    <s v="XYZ Luxury"/>
    <s v="Growify_XYZ LuxuryP_Search_INT-5/21/26"/>
    <s v="ENABLED"/>
    <n v="67.743273000000002"/>
    <n v="3"/>
    <n v="14"/>
    <n v="22.581091000000001"/>
    <n v="0.214286"/>
    <n v="4838.805214"/>
    <n v="0"/>
    <n v="0"/>
    <s v="Rest of the World"/>
    <s v="United Kingdom"/>
    <x v="4"/>
  </r>
  <r>
    <s v="17-08-2026"/>
    <s v="XYZ Luxury"/>
    <s v="Growify_XYZ LuxuryP_Search_INT-5/21/26"/>
    <s v="ENABLED"/>
    <n v="197.11"/>
    <n v="3"/>
    <n v="8"/>
    <n v="65.703333000000001"/>
    <n v="0.375"/>
    <n v="24638.75"/>
    <n v="0"/>
    <n v="0"/>
    <s v="Rest of the World"/>
    <s v="United Kingdom"/>
    <x v="4"/>
  </r>
  <r>
    <s v="18-08-2026"/>
    <s v="XYZ Luxury"/>
    <s v="Growify_XYZ LuxuryP_Search_INT-5/21/26"/>
    <s v="ENABLED"/>
    <n v="100.97"/>
    <n v="4"/>
    <n v="7"/>
    <n v="25.2425"/>
    <n v="0.57142899999999996"/>
    <n v="14424.28571"/>
    <n v="0"/>
    <n v="0"/>
    <s v="Rest of the World"/>
    <s v="United Kingdom"/>
    <x v="4"/>
  </r>
  <r>
    <s v="19-08-2026"/>
    <s v="XYZ Luxury"/>
    <s v="Growify_XYZ LuxuryP_Search_INT-5/21/26"/>
    <s v="ENABLED"/>
    <n v="6.5"/>
    <n v="2"/>
    <n v="7"/>
    <n v="3.25"/>
    <n v="0.28571400000000002"/>
    <n v="928.57142899999997"/>
    <n v="0"/>
    <n v="0"/>
    <s v="Rest of the World"/>
    <s v="United Kingdom"/>
    <x v="4"/>
  </r>
  <r>
    <s v="20-08-2026"/>
    <s v="XYZ Luxury"/>
    <s v="Growify_XYZ LuxuryP_Search_INT-5/21/26"/>
    <s v="ENABLED"/>
    <n v="32.590000000000003"/>
    <n v="2"/>
    <n v="6"/>
    <n v="16.295000000000002"/>
    <n v="0.33333299999999999"/>
    <n v="5431.6666670000004"/>
    <n v="0"/>
    <n v="0"/>
    <s v="Rest of the World"/>
    <s v="United Kingdom"/>
    <x v="4"/>
  </r>
  <r>
    <s v="22-08-2026"/>
    <s v="XYZ Luxury"/>
    <s v="Growify_XYZ LuxuryP_Search_INT-5/21/26"/>
    <s v="ENABLED"/>
    <n v="160.72"/>
    <n v="2"/>
    <n v="14"/>
    <n v="80.36"/>
    <n v="0.14285700000000001"/>
    <n v="11480"/>
    <n v="0"/>
    <n v="0"/>
    <s v="Rest of the World"/>
    <s v="United Kingdom"/>
    <x v="4"/>
  </r>
  <r>
    <s v="24-08-2026"/>
    <s v="XYZ Luxury"/>
    <s v="Growify_XYZ LuxuryP_Search_INT-5/21/26"/>
    <s v="ENABLED"/>
    <n v="16.98"/>
    <n v="1"/>
    <n v="6"/>
    <n v="16.98"/>
    <n v="0.16666700000000001"/>
    <n v="2830"/>
    <n v="0"/>
    <n v="0"/>
    <s v="Rest of the World"/>
    <s v="United Kingdom"/>
    <x v="4"/>
  </r>
  <r>
    <s v="25-08-2026"/>
    <s v="XYZ Luxury"/>
    <s v="Growify_XYZ LuxuryP_Search_INT-5/21/26"/>
    <s v="ENABLED"/>
    <n v="2.27"/>
    <n v="2"/>
    <n v="3"/>
    <n v="1.135"/>
    <n v="0.66666700000000001"/>
    <n v="756.66666699999996"/>
    <n v="0"/>
    <n v="0"/>
    <s v="Rest of the World"/>
    <s v="United Kingdom"/>
    <x v="4"/>
  </r>
  <r>
    <s v="26-08-2026"/>
    <s v="XYZ Luxury"/>
    <s v="Growify_XYZ LuxuryP_Search_INT-5/21/26"/>
    <s v="ENABLED"/>
    <n v="7.82"/>
    <n v="2"/>
    <n v="3"/>
    <n v="3.91"/>
    <n v="0.66666700000000001"/>
    <n v="2606.666667"/>
    <n v="0"/>
    <n v="0"/>
    <s v="Rest of the World"/>
    <s v="United Kingdom"/>
    <x v="4"/>
  </r>
  <r>
    <s v="27-08-2026"/>
    <s v="XYZ Luxury"/>
    <s v="Growify_XYZ LuxuryP_Search_INT-5/21/26"/>
    <s v="ENABLED"/>
    <n v="1.3"/>
    <n v="1"/>
    <n v="3"/>
    <n v="1.3"/>
    <n v="0.33333299999999999"/>
    <n v="433.33333299999998"/>
    <n v="0"/>
    <n v="0"/>
    <s v="Rest of the World"/>
    <s v="United Kingdom"/>
    <x v="4"/>
  </r>
  <r>
    <d v="2026-05-08T00:00:00"/>
    <s v="XYZ Luxury"/>
    <s v="Growify_Performance Max_Listing_INTL"/>
    <s v="ENABLED"/>
    <n v="24.790986"/>
    <n v="1"/>
    <n v="64"/>
    <n v="24.790986"/>
    <n v="1.5625E-2"/>
    <n v="387.35915599999998"/>
    <n v="0"/>
    <n v="0"/>
    <s v="Rest of the World"/>
    <s v="United Kingdom"/>
    <x v="4"/>
  </r>
  <r>
    <d v="2026-06-08T00:00:00"/>
    <s v="XYZ Luxury"/>
    <s v="Growify_Performance Max_Listing_INTL"/>
    <s v="ENABLED"/>
    <n v="22.81"/>
    <n v="2"/>
    <n v="177"/>
    <n v="11.404999999999999"/>
    <n v="1.1299E-2"/>
    <n v="128.87005600000001"/>
    <n v="0"/>
    <n v="0"/>
    <s v="Rest of the World"/>
    <s v="United Kingdom"/>
    <x v="4"/>
  </r>
  <r>
    <d v="2026-07-08T00:00:00"/>
    <s v="XYZ Luxury"/>
    <s v="Growify_Performance Max_Listing_INTL"/>
    <s v="ENABLED"/>
    <n v="60.2"/>
    <n v="3"/>
    <n v="136"/>
    <n v="20.066666999999999"/>
    <n v="2.2058999999999999E-2"/>
    <n v="442.64705900000001"/>
    <n v="0"/>
    <n v="0"/>
    <s v="Rest of the World"/>
    <s v="United Kingdom"/>
    <x v="4"/>
  </r>
  <r>
    <d v="2026-08-08T00:00:00"/>
    <s v="XYZ Luxury"/>
    <s v="Growify_Performance Max_Listing_INTL"/>
    <s v="ENABLED"/>
    <n v="36.54"/>
    <n v="3"/>
    <n v="176"/>
    <n v="12.18"/>
    <n v="1.7045000000000001E-2"/>
    <n v="207.61363600000001"/>
    <n v="0"/>
    <n v="0"/>
    <s v="Rest of the World"/>
    <s v="United Kingdom"/>
    <x v="4"/>
  </r>
  <r>
    <d v="2026-09-08T00:00:00"/>
    <s v="XYZ Luxury"/>
    <s v="Growify_Performance Max_Listing_INTL"/>
    <s v="ENABLED"/>
    <n v="30.01"/>
    <n v="5"/>
    <n v="153"/>
    <n v="6.0019999999999998"/>
    <n v="3.2680000000000001E-2"/>
    <n v="196.14379099999999"/>
    <n v="0"/>
    <n v="0"/>
    <s v="Rest of the World"/>
    <s v="United Kingdom"/>
    <x v="4"/>
  </r>
  <r>
    <d v="2026-10-08T00:00:00"/>
    <s v="XYZ Luxury"/>
    <s v="Growify_Performance Max_Listing_INTL"/>
    <s v="ENABLED"/>
    <n v="44.89"/>
    <n v="6"/>
    <n v="203"/>
    <n v="7.4816669999999998"/>
    <n v="2.9557E-2"/>
    <n v="221.133005"/>
    <n v="0"/>
    <n v="0"/>
    <s v="Rest of the World"/>
    <s v="United Kingdom"/>
    <x v="4"/>
  </r>
  <r>
    <d v="2026-12-08T00:00:00"/>
    <s v="XYZ Luxury"/>
    <s v="Growify_Performance Max_Listing_INTL"/>
    <s v="ENABLED"/>
    <n v="74.56"/>
    <n v="2"/>
    <n v="61"/>
    <n v="37.28"/>
    <n v="3.2786999999999997E-2"/>
    <n v="1222.2950820000001"/>
    <n v="0"/>
    <n v="0"/>
    <s v="Rest of the World"/>
    <s v="United Kingdom"/>
    <x v="4"/>
  </r>
  <r>
    <s v="14-08-2026"/>
    <s v="XYZ Luxury"/>
    <s v="Growify_Performance Max_Listing_INTL"/>
    <s v="ENABLED"/>
    <n v="13.368790000000001"/>
    <n v="2"/>
    <n v="87"/>
    <n v="6.6843950000000003"/>
    <n v="2.2988999999999999E-2"/>
    <n v="153.664253"/>
    <n v="0"/>
    <n v="0"/>
    <s v="Rest of the World"/>
    <s v="United Kingdom"/>
    <x v="4"/>
  </r>
  <r>
    <s v="18-08-2026"/>
    <s v="XYZ Luxury"/>
    <s v="Growify_Performance Max_Listing_INTL"/>
    <s v="ENABLED"/>
    <n v="50.718333999999999"/>
    <n v="3"/>
    <n v="213"/>
    <n v="16.906110999999999"/>
    <n v="1.4085E-2"/>
    <n v="238.11424400000001"/>
    <n v="0"/>
    <n v="0"/>
    <s v="Rest of the World"/>
    <s v="United Kingdom"/>
    <x v="4"/>
  </r>
  <r>
    <s v="19-08-2026"/>
    <s v="XYZ Luxury"/>
    <s v="Growify_Performance Max_Listing_INTL"/>
    <s v="ENABLED"/>
    <n v="285.14993500000003"/>
    <n v="9"/>
    <n v="518"/>
    <n v="31.683326000000001"/>
    <n v="1.7375000000000002E-2"/>
    <n v="550.48249999999996"/>
    <n v="0"/>
    <n v="0"/>
    <s v="Rest of the World"/>
    <s v="United Kingdom"/>
    <x v="4"/>
  </r>
  <r>
    <s v="20-08-2026"/>
    <s v="XYZ Luxury"/>
    <s v="Growify_Performance Max_Listing_INTL"/>
    <s v="ENABLED"/>
    <n v="171.90660500000001"/>
    <n v="7"/>
    <n v="454"/>
    <n v="24.558085999999999"/>
    <n v="1.5419E-2"/>
    <n v="378.64891"/>
    <n v="0"/>
    <n v="0"/>
    <s v="Rest of the World"/>
    <s v="United Kingdom"/>
    <x v="4"/>
  </r>
  <r>
    <s v="21-08-2026"/>
    <s v="XYZ Luxury"/>
    <s v="Growify_Performance Max_Listing_INTL"/>
    <s v="ENABLED"/>
    <n v="256.067947"/>
    <n v="7"/>
    <n v="500"/>
    <n v="36.581135000000003"/>
    <n v="1.4E-2"/>
    <n v="512.13589400000001"/>
    <n v="0"/>
    <n v="0"/>
    <s v="Rest of the World"/>
    <s v="United Kingdom"/>
    <x v="4"/>
  </r>
  <r>
    <s v="22-08-2026"/>
    <s v="XYZ Luxury"/>
    <s v="Growify_Performance Max_Listing_INTL"/>
    <s v="ENABLED"/>
    <n v="258.50209999999998"/>
    <n v="5"/>
    <n v="288"/>
    <n v="51.700420000000001"/>
    <n v="1.7361000000000001E-2"/>
    <n v="897.57673599999998"/>
    <n v="0"/>
    <n v="0"/>
    <s v="Rest of the World"/>
    <s v="United Kingdom"/>
    <x v="4"/>
  </r>
  <r>
    <s v="23-08-2026"/>
    <s v="XYZ Luxury"/>
    <s v="Growify_Performance Max_Listing_INTL"/>
    <s v="ENABLED"/>
    <n v="186.20126500000001"/>
    <n v="13"/>
    <n v="546"/>
    <n v="14.323174"/>
    <n v="2.3810000000000001E-2"/>
    <n v="341.02795800000001"/>
    <n v="0"/>
    <n v="0"/>
    <s v="Rest of the World"/>
    <s v="United Kingdom"/>
    <x v="4"/>
  </r>
  <r>
    <s v="24-08-2026"/>
    <s v="XYZ Luxury"/>
    <s v="Growify_Performance Max_Listing_INTL"/>
    <s v="ENABLED"/>
    <n v="117.26"/>
    <n v="3"/>
    <n v="168"/>
    <n v="39.086666999999998"/>
    <n v="1.7857000000000001E-2"/>
    <n v="697.97618999999997"/>
    <n v="0"/>
    <n v="0"/>
    <s v="Rest of the World"/>
    <s v="United Kingdom"/>
    <x v="4"/>
  </r>
  <r>
    <s v="25-08-2026"/>
    <s v="XYZ Luxury"/>
    <s v="Growify_Performance Max_Listing_INTL"/>
    <s v="ENABLED"/>
    <n v="33.869999999999997"/>
    <n v="2"/>
    <n v="48"/>
    <n v="16.934999999999999"/>
    <n v="4.1667000000000003E-2"/>
    <n v="705.625"/>
    <n v="0"/>
    <n v="0"/>
    <s v="Rest of the World"/>
    <s v="United Kingdom"/>
    <x v="4"/>
  </r>
  <r>
    <s v="26-08-2026"/>
    <s v="XYZ Luxury"/>
    <s v="Growify_Performance Max_Listing_INTL"/>
    <s v="ENABLED"/>
    <n v="12.489347"/>
    <n v="2"/>
    <n v="102"/>
    <n v="6.2446739999999998"/>
    <n v="1.9608E-2"/>
    <n v="122.44457800000001"/>
    <n v="0"/>
    <n v="0"/>
    <s v="Rest of the World"/>
    <s v="United Kingdom"/>
    <x v="4"/>
  </r>
  <r>
    <s v="27-08-2026"/>
    <s v="XYZ Luxury"/>
    <s v="Growify_Performance Max_Listing_INTL"/>
    <s v="ENABLED"/>
    <n v="3.48"/>
    <n v="3"/>
    <n v="56"/>
    <n v="1.1599999999999999"/>
    <n v="5.3571000000000001E-2"/>
    <n v="62.142856999999999"/>
    <n v="0"/>
    <n v="0"/>
    <s v="Rest of the World"/>
    <s v="United Kingdom"/>
    <x v="4"/>
  </r>
  <r>
    <d v="2026-05-08T00:00:00"/>
    <s v="XYZ Luxury"/>
    <s v="Growify_XYZ LuxuryP_Search_INT-5/21/26"/>
    <s v="ENABLED"/>
    <n v="108.46"/>
    <n v="2"/>
    <n v="4"/>
    <n v="54.23"/>
    <n v="0.5"/>
    <n v="27115"/>
    <n v="0"/>
    <n v="0"/>
    <s v="USA"/>
    <s v="United States"/>
    <x v="2"/>
  </r>
  <r>
    <d v="2026-07-08T00:00:00"/>
    <s v="XYZ Luxury"/>
    <s v="Growify_XYZ LuxuryP_Search_INT-5/21/26"/>
    <s v="ENABLED"/>
    <n v="2.88"/>
    <n v="3"/>
    <n v="15"/>
    <n v="0.96"/>
    <n v="0.2"/>
    <n v="192"/>
    <n v="0"/>
    <n v="0"/>
    <s v="USA"/>
    <s v="United States"/>
    <x v="2"/>
  </r>
  <r>
    <d v="2026-08-08T00:00:00"/>
    <s v="XYZ Luxury"/>
    <s v="Growify_XYZ LuxuryP_Search_INT-5/21/26"/>
    <s v="ENABLED"/>
    <n v="222.93859599999999"/>
    <n v="3"/>
    <n v="9"/>
    <n v="74.312865000000002"/>
    <n v="0.33333299999999999"/>
    <n v="24770.955109999999"/>
    <n v="0"/>
    <n v="0"/>
    <s v="USA"/>
    <s v="United States"/>
    <x v="2"/>
  </r>
  <r>
    <d v="2026-09-08T00:00:00"/>
    <s v="XYZ Luxury"/>
    <s v="Growify_XYZ LuxuryP_Search_INT-5/21/26"/>
    <s v="ENABLED"/>
    <n v="225.7"/>
    <n v="10"/>
    <n v="28"/>
    <n v="22.57"/>
    <n v="0.35714299999999999"/>
    <n v="8060.7142860000004"/>
    <n v="0"/>
    <n v="0"/>
    <s v="USA"/>
    <s v="United States"/>
    <x v="2"/>
  </r>
  <r>
    <d v="2026-10-08T00:00:00"/>
    <s v="XYZ Luxury"/>
    <s v="Growify_XYZ LuxuryP_Search_INT-5/21/26"/>
    <s v="ENABLED"/>
    <n v="8.8707619999999991"/>
    <n v="10"/>
    <n v="22"/>
    <n v="0.88707599999999998"/>
    <n v="0.45454499999999998"/>
    <n v="403.216455"/>
    <n v="0"/>
    <n v="0"/>
    <s v="USA"/>
    <s v="United States"/>
    <x v="2"/>
  </r>
  <r>
    <d v="2026-11-08T00:00:00"/>
    <s v="XYZ Luxury"/>
    <s v="Growify_XYZ LuxuryP_Search_INT-5/21/26"/>
    <s v="ENABLED"/>
    <n v="161.33000000000001"/>
    <n v="5"/>
    <n v="18"/>
    <n v="32.265999999999998"/>
    <n v="0.27777800000000002"/>
    <n v="8962.7777779999997"/>
    <n v="0"/>
    <n v="0"/>
    <s v="USA"/>
    <s v="United States"/>
    <x v="2"/>
  </r>
  <r>
    <d v="2026-12-08T00:00:00"/>
    <s v="XYZ Luxury"/>
    <s v="Growify_XYZ LuxuryP_Search_INT-5/21/26"/>
    <s v="ENABLED"/>
    <n v="67.78"/>
    <n v="2"/>
    <n v="6"/>
    <n v="33.89"/>
    <n v="0.33333299999999999"/>
    <n v="11296.666670000001"/>
    <n v="0"/>
    <n v="0"/>
    <s v="USA"/>
    <s v="United States"/>
    <x v="2"/>
  </r>
  <r>
    <s v="13-08-2026"/>
    <s v="XYZ Luxury"/>
    <s v="Growify_XYZ LuxuryP_Search_INT-5/21/26"/>
    <s v="ENABLED"/>
    <n v="65.83"/>
    <n v="4"/>
    <n v="12"/>
    <n v="16.4575"/>
    <n v="0.33333299999999999"/>
    <n v="5485.8333329999996"/>
    <n v="0"/>
    <n v="0"/>
    <s v="USA"/>
    <s v="United States"/>
    <x v="2"/>
  </r>
  <r>
    <s v="14-08-2026"/>
    <s v="XYZ Luxury"/>
    <s v="Growify_XYZ LuxuryP_Search_INT-5/21/26"/>
    <s v="ENABLED"/>
    <n v="124.11"/>
    <n v="7"/>
    <n v="20"/>
    <n v="17.73"/>
    <n v="0.35"/>
    <n v="6205.5"/>
    <n v="0"/>
    <n v="0"/>
    <s v="USA"/>
    <s v="United States"/>
    <x v="2"/>
  </r>
  <r>
    <s v="15-08-2026"/>
    <s v="XYZ Luxury"/>
    <s v="Growify_XYZ LuxuryP_Search_INT-5/21/26"/>
    <s v="ENABLED"/>
    <n v="559.80437900000004"/>
    <n v="7"/>
    <n v="15"/>
    <n v="79.972054"/>
    <n v="0.466667"/>
    <n v="37320.291929999999"/>
    <n v="0"/>
    <n v="0"/>
    <s v="USA"/>
    <s v="United States"/>
    <x v="2"/>
  </r>
  <r>
    <s v="16-08-2026"/>
    <s v="XYZ Luxury"/>
    <s v="Growify_XYZ LuxuryP_Search_INT-5/21/26"/>
    <s v="ENABLED"/>
    <n v="212.015657"/>
    <n v="8"/>
    <n v="39"/>
    <n v="26.501957000000001"/>
    <n v="0.205128"/>
    <n v="5436.2988969999997"/>
    <n v="1"/>
    <n v="25080"/>
    <s v="USA"/>
    <s v="United States"/>
    <x v="2"/>
  </r>
  <r>
    <s v="17-08-2026"/>
    <s v="XYZ Luxury"/>
    <s v="Growify_XYZ LuxuryP_Search_INT-5/21/26"/>
    <s v="ENABLED"/>
    <n v="228.96"/>
    <n v="6"/>
    <n v="17"/>
    <n v="38.159999999999997"/>
    <n v="0.352941"/>
    <n v="13468.235290000001"/>
    <n v="0"/>
    <n v="0"/>
    <s v="USA"/>
    <s v="United States"/>
    <x v="2"/>
  </r>
  <r>
    <s v="18-08-2026"/>
    <s v="XYZ Luxury"/>
    <s v="Growify_XYZ LuxuryP_Search_INT-5/21/26"/>
    <s v="ENABLED"/>
    <n v="16.3"/>
    <n v="9"/>
    <n v="22"/>
    <n v="1.8111109999999999"/>
    <n v="0.40909099999999998"/>
    <n v="740.90909099999999"/>
    <n v="0"/>
    <n v="0"/>
    <s v="USA"/>
    <s v="United States"/>
    <x v="2"/>
  </r>
  <r>
    <s v="19-08-2026"/>
    <s v="XYZ Luxury"/>
    <s v="Growify_XYZ LuxuryP_Search_INT-5/21/26"/>
    <s v="ENABLED"/>
    <n v="53.59"/>
    <n v="2"/>
    <n v="4"/>
    <n v="26.795000000000002"/>
    <n v="0.5"/>
    <n v="13397.5"/>
    <n v="0"/>
    <n v="0"/>
    <s v="USA"/>
    <s v="United States"/>
    <x v="2"/>
  </r>
  <r>
    <s v="20-08-2026"/>
    <s v="XYZ Luxury"/>
    <s v="Growify_XYZ LuxuryP_Search_INT-5/21/26"/>
    <s v="ENABLED"/>
    <n v="618.41999999999996"/>
    <n v="7"/>
    <n v="18"/>
    <n v="88.345714000000001"/>
    <n v="0.38888899999999998"/>
    <n v="34356.666669999999"/>
    <n v="0"/>
    <n v="0"/>
    <s v="USA"/>
    <s v="United States"/>
    <x v="2"/>
  </r>
  <r>
    <s v="21-08-2026"/>
    <s v="XYZ Luxury"/>
    <s v="Growify_XYZ LuxuryP_Search_INT-5/21/26"/>
    <s v="ENABLED"/>
    <n v="471.87"/>
    <n v="2"/>
    <n v="9"/>
    <n v="235.935"/>
    <n v="0.222222"/>
    <n v="52430"/>
    <n v="0"/>
    <n v="0"/>
    <s v="USA"/>
    <s v="United States"/>
    <x v="2"/>
  </r>
  <r>
    <s v="22-08-2026"/>
    <s v="XYZ Luxury"/>
    <s v="Growify_XYZ LuxuryP_Search_INT-5/21/26"/>
    <s v="ENABLED"/>
    <n v="180.13391200000001"/>
    <n v="6"/>
    <n v="16"/>
    <n v="30.022319"/>
    <n v="0.375"/>
    <n v="11258.369500000001"/>
    <n v="0"/>
    <n v="0"/>
    <s v="USA"/>
    <s v="United States"/>
    <x v="2"/>
  </r>
  <r>
    <s v="23-08-2026"/>
    <s v="XYZ Luxury"/>
    <s v="Growify_XYZ LuxuryP_Search_INT-5/21/26"/>
    <s v="ENABLED"/>
    <n v="471.87"/>
    <n v="7"/>
    <n v="28"/>
    <n v="67.41"/>
    <n v="0.25"/>
    <n v="16852.5"/>
    <n v="1"/>
    <n v="21500"/>
    <s v="USA"/>
    <s v="United States"/>
    <x v="2"/>
  </r>
  <r>
    <s v="24-08-2026"/>
    <s v="XYZ Luxury"/>
    <s v="Growify_XYZ LuxuryP_Search_INT-5/21/26"/>
    <s v="ENABLED"/>
    <n v="196.22"/>
    <n v="4"/>
    <n v="19"/>
    <n v="49.055"/>
    <n v="0.21052599999999999"/>
    <n v="10327.368420000001"/>
    <n v="0"/>
    <n v="0"/>
    <s v="USA"/>
    <s v="United States"/>
    <x v="2"/>
  </r>
  <r>
    <s v="25-08-2026"/>
    <s v="XYZ Luxury"/>
    <s v="Growify_XYZ LuxuryP_Search_INT-5/21/26"/>
    <s v="ENABLED"/>
    <n v="350.44"/>
    <n v="5"/>
    <n v="7"/>
    <n v="70.087999999999994"/>
    <n v="0.71428599999999998"/>
    <n v="50062.85714"/>
    <n v="0"/>
    <n v="0"/>
    <s v="USA"/>
    <s v="United States"/>
    <x v="2"/>
  </r>
  <r>
    <s v="26-08-2026"/>
    <s v="XYZ Luxury"/>
    <s v="Growify_XYZ LuxuryP_Search_INT-5/21/26"/>
    <s v="ENABLED"/>
    <n v="539.12"/>
    <n v="6"/>
    <n v="13"/>
    <n v="89.853333000000006"/>
    <n v="0.461538"/>
    <n v="41470.769229999998"/>
    <n v="0"/>
    <n v="0"/>
    <s v="USA"/>
    <s v="United States"/>
    <x v="2"/>
  </r>
  <r>
    <s v="27-08-2026"/>
    <s v="XYZ Luxury"/>
    <s v="Growify_XYZ LuxuryP_Search_INT-5/21/26"/>
    <s v="ENABLED"/>
    <n v="99.23"/>
    <n v="2"/>
    <n v="4"/>
    <n v="49.615000000000002"/>
    <n v="0.5"/>
    <n v="24807.5"/>
    <n v="0"/>
    <n v="0"/>
    <s v="USA"/>
    <s v="United States"/>
    <x v="2"/>
  </r>
  <r>
    <d v="2026-05-08T00:00:00"/>
    <s v="XYZ Luxury"/>
    <s v="Growify_Performance Max_Listing_INTL"/>
    <s v="ENABLED"/>
    <n v="1.2409E-2"/>
    <n v="2"/>
    <n v="238"/>
    <n v="6.2049999999999996E-3"/>
    <n v="8.4030000000000007E-3"/>
    <n v="5.2138999999999998E-2"/>
    <n v="0"/>
    <n v="0"/>
    <s v="USA"/>
    <s v="United States"/>
    <x v="2"/>
  </r>
  <r>
    <d v="2026-06-08T00:00:00"/>
    <s v="XYZ Luxury"/>
    <s v="Growify_Performance Max_Listing_INTL"/>
    <s v="ENABLED"/>
    <n v="214.04703599999999"/>
    <n v="8"/>
    <n v="784"/>
    <n v="26.755880000000001"/>
    <n v="1.0204E-2"/>
    <n v="273.01917900000001"/>
    <n v="0"/>
    <n v="0"/>
    <s v="USA"/>
    <s v="United States"/>
    <x v="2"/>
  </r>
  <r>
    <d v="2026-07-08T00:00:00"/>
    <s v="XYZ Luxury"/>
    <s v="Growify_Performance Max_Listing_INTL"/>
    <s v="ENABLED"/>
    <n v="519.35089700000003"/>
    <n v="16"/>
    <n v="619"/>
    <n v="32.459431000000002"/>
    <n v="2.5847999999999999E-2"/>
    <n v="839.01598899999999"/>
    <n v="0"/>
    <n v="0"/>
    <s v="USA"/>
    <s v="United States"/>
    <x v="2"/>
  </r>
  <r>
    <d v="2026-08-08T00:00:00"/>
    <s v="XYZ Luxury"/>
    <s v="Growify_Performance Max_Listing_INTL"/>
    <s v="ENABLED"/>
    <n v="103.332358"/>
    <n v="8"/>
    <n v="823"/>
    <n v="12.916544999999999"/>
    <n v="9.7210000000000005E-3"/>
    <n v="125.55572100000001"/>
    <n v="0"/>
    <n v="0"/>
    <s v="USA"/>
    <s v="United States"/>
    <x v="2"/>
  </r>
  <r>
    <d v="2026-09-08T00:00:00"/>
    <s v="XYZ Luxury"/>
    <s v="Growify_Performance Max_Listing_INTL"/>
    <s v="ENABLED"/>
    <n v="447.71"/>
    <n v="13"/>
    <n v="785"/>
    <n v="34.439230999999999"/>
    <n v="1.6560999999999999E-2"/>
    <n v="570.33121000000006"/>
    <n v="0"/>
    <n v="0"/>
    <s v="USA"/>
    <s v="United States"/>
    <x v="2"/>
  </r>
  <r>
    <d v="2026-10-08T00:00:00"/>
    <s v="XYZ Luxury"/>
    <s v="Growify_Performance Max_Listing_INTL"/>
    <s v="ENABLED"/>
    <n v="583.80999999999995"/>
    <n v="24"/>
    <n v="1367"/>
    <n v="24.325417000000002"/>
    <n v="1.7557E-2"/>
    <n v="427.07388400000002"/>
    <n v="0"/>
    <n v="0"/>
    <s v="USA"/>
    <s v="United States"/>
    <x v="2"/>
  </r>
  <r>
    <d v="2026-11-08T00:00:00"/>
    <s v="XYZ Luxury"/>
    <s v="Growify_Performance Max_Listing_INTL"/>
    <s v="ENABLED"/>
    <n v="929.88"/>
    <n v="21"/>
    <n v="1287"/>
    <n v="44.28"/>
    <n v="1.6317000000000002E-2"/>
    <n v="722.51748299999997"/>
    <n v="0"/>
    <n v="0"/>
    <s v="USA"/>
    <s v="United States"/>
    <x v="2"/>
  </r>
  <r>
    <d v="2026-12-08T00:00:00"/>
    <s v="XYZ Luxury"/>
    <s v="Growify_Performance Max_Listing_INTL"/>
    <s v="ENABLED"/>
    <n v="160.57"/>
    <n v="5"/>
    <n v="446"/>
    <n v="32.113999999999997"/>
    <n v="1.1211E-2"/>
    <n v="360.02242200000001"/>
    <n v="0"/>
    <n v="0"/>
    <s v="USA"/>
    <s v="United States"/>
    <x v="2"/>
  </r>
  <r>
    <s v="13-08-2026"/>
    <s v="XYZ Luxury"/>
    <s v="Growify_Performance Max_Listing_INTL"/>
    <s v="ENABLED"/>
    <n v="226.45"/>
    <n v="1"/>
    <n v="111"/>
    <n v="226.45"/>
    <n v="9.0089999999999996E-3"/>
    <n v="2040.0900899999999"/>
    <n v="0"/>
    <n v="0"/>
    <s v="USA"/>
    <s v="United States"/>
    <x v="2"/>
  </r>
  <r>
    <s v="14-08-2026"/>
    <s v="XYZ Luxury"/>
    <s v="Growify_Performance Max_Listing_INTL"/>
    <s v="ENABLED"/>
    <n v="746.65"/>
    <n v="14"/>
    <n v="469"/>
    <n v="53.332143000000002"/>
    <n v="2.9850999999999999E-2"/>
    <n v="1592.0042639999999"/>
    <n v="0"/>
    <n v="0"/>
    <s v="USA"/>
    <s v="United States"/>
    <x v="2"/>
  </r>
  <r>
    <s v="15-08-2026"/>
    <s v="XYZ Luxury"/>
    <s v="Growify_Performance Max_Listing_INTL"/>
    <s v="ENABLED"/>
    <n v="37.460794999999997"/>
    <n v="4"/>
    <n v="283"/>
    <n v="9.3651990000000005"/>
    <n v="1.4134000000000001E-2"/>
    <n v="132.37029999999999"/>
    <n v="0"/>
    <n v="0"/>
    <s v="USA"/>
    <s v="United States"/>
    <x v="2"/>
  </r>
  <r>
    <s v="16-08-2026"/>
    <s v="XYZ Luxury"/>
    <s v="Growify_Performance Max_Listing_INTL"/>
    <s v="ENABLED"/>
    <n v="14.05"/>
    <n v="3"/>
    <n v="341"/>
    <n v="4.6833330000000002"/>
    <n v="8.7980000000000003E-3"/>
    <n v="41.202345999999999"/>
    <n v="0"/>
    <n v="0"/>
    <s v="USA"/>
    <s v="United States"/>
    <x v="2"/>
  </r>
  <r>
    <s v="17-08-2026"/>
    <s v="XYZ Luxury"/>
    <s v="Growify_Performance Max_Listing_INTL"/>
    <s v="ENABLED"/>
    <n v="41.508256000000003"/>
    <n v="1"/>
    <n v="358"/>
    <n v="41.508256000000003"/>
    <n v="2.7929999999999999E-3"/>
    <n v="115.944849"/>
    <n v="0"/>
    <n v="0"/>
    <s v="USA"/>
    <s v="United States"/>
    <x v="2"/>
  </r>
  <r>
    <s v="18-08-2026"/>
    <s v="XYZ Luxury"/>
    <s v="Growify_Performance Max_Listing_INTL"/>
    <s v="ENABLED"/>
    <n v="106.79931000000001"/>
    <n v="10"/>
    <n v="764"/>
    <n v="10.679931"/>
    <n v="1.3089E-2"/>
    <n v="139.78967299999999"/>
    <n v="0"/>
    <n v="0"/>
    <s v="USA"/>
    <s v="United States"/>
    <x v="2"/>
  </r>
  <r>
    <s v="19-08-2026"/>
    <s v="XYZ Luxury"/>
    <s v="Growify_Performance Max_Listing_INTL"/>
    <s v="ENABLED"/>
    <n v="1421.281152"/>
    <n v="31"/>
    <n v="2027"/>
    <n v="45.847779000000003"/>
    <n v="1.5294E-2"/>
    <n v="701.17471699999999"/>
    <n v="0"/>
    <n v="0"/>
    <s v="USA"/>
    <s v="United States"/>
    <x v="2"/>
  </r>
  <r>
    <s v="20-08-2026"/>
    <s v="XYZ Luxury"/>
    <s v="Growify_Performance Max_Listing_INTL"/>
    <s v="ENABLED"/>
    <n v="546.70469800000001"/>
    <n v="16"/>
    <n v="1226"/>
    <n v="34.169044"/>
    <n v="1.3051E-2"/>
    <n v="445.92552899999998"/>
    <n v="0"/>
    <n v="0"/>
    <s v="USA"/>
    <s v="United States"/>
    <x v="2"/>
  </r>
  <r>
    <s v="21-08-2026"/>
    <s v="XYZ Luxury"/>
    <s v="Growify_Performance Max_Listing_INTL"/>
    <s v="ENABLED"/>
    <n v="366.68728599999997"/>
    <n v="11"/>
    <n v="681"/>
    <n v="33.335208000000002"/>
    <n v="1.6153000000000001E-2"/>
    <n v="538.45416399999999"/>
    <n v="0"/>
    <n v="0"/>
    <s v="USA"/>
    <s v="United States"/>
    <x v="2"/>
  </r>
  <r>
    <s v="22-08-2026"/>
    <s v="XYZ Luxury"/>
    <s v="Growify_Performance Max_Listing_INTL"/>
    <s v="ENABLED"/>
    <n v="538.02911300000005"/>
    <n v="9"/>
    <n v="930"/>
    <n v="59.781013000000002"/>
    <n v="9.6769999999999998E-3"/>
    <n v="578.52592800000002"/>
    <n v="0"/>
    <n v="0"/>
    <s v="USA"/>
    <s v="United States"/>
    <x v="2"/>
  </r>
  <r>
    <s v="23-08-2026"/>
    <s v="XYZ Luxury"/>
    <s v="Growify_Performance Max_Listing_INTL"/>
    <s v="ENABLED"/>
    <n v="629.67902300000003"/>
    <n v="17"/>
    <n v="1270"/>
    <n v="37.039943000000001"/>
    <n v="1.3386E-2"/>
    <n v="495.81025399999999"/>
    <n v="0"/>
    <n v="0"/>
    <s v="USA"/>
    <s v="United States"/>
    <x v="2"/>
  </r>
  <r>
    <s v="24-08-2026"/>
    <s v="XYZ Luxury"/>
    <s v="Growify_Performance Max_Listing_INTL"/>
    <s v="ENABLED"/>
    <n v="566.13"/>
    <n v="16"/>
    <n v="760"/>
    <n v="35.383125"/>
    <n v="2.1052999999999999E-2"/>
    <n v="744.90789500000005"/>
    <n v="0"/>
    <n v="0"/>
    <s v="USA"/>
    <s v="United States"/>
    <x v="2"/>
  </r>
  <r>
    <s v="25-08-2026"/>
    <s v="XYZ Luxury"/>
    <s v="Growify_Performance Max_Listing_INTL"/>
    <s v="ENABLED"/>
    <n v="65.180000000000007"/>
    <n v="3"/>
    <n v="140"/>
    <n v="21.726666999999999"/>
    <n v="2.1429E-2"/>
    <n v="465.57142900000002"/>
    <n v="0"/>
    <n v="0"/>
    <s v="USA"/>
    <s v="United States"/>
    <x v="2"/>
  </r>
  <r>
    <s v="26-08-2026"/>
    <s v="XYZ Luxury"/>
    <s v="Growify_Performance Max_Listing_INTL"/>
    <s v="ENABLED"/>
    <n v="172.93"/>
    <n v="8"/>
    <n v="182"/>
    <n v="21.616250000000001"/>
    <n v="4.3956000000000002E-2"/>
    <n v="950.16483500000004"/>
    <n v="0"/>
    <n v="0"/>
    <s v="USA"/>
    <s v="United States"/>
    <x v="2"/>
  </r>
  <r>
    <s v="27-08-2026"/>
    <s v="XYZ Luxury"/>
    <s v="Growify_Performance Max_Listing_INTL"/>
    <s v="ENABLED"/>
    <n v="408.33"/>
    <n v="3"/>
    <n v="45"/>
    <n v="136.11000000000001"/>
    <n v="6.6667000000000004E-2"/>
    <n v="9074"/>
    <n v="0"/>
    <n v="0"/>
    <s v="USA"/>
    <s v="United States"/>
    <x v="2"/>
  </r>
  <r>
    <d v="2026-12-08T00:00:00"/>
    <s v="XYZ Luxury"/>
    <s v="Growify_Performance Max_Listing_INTL"/>
    <s v="ENABLED"/>
    <n v="0"/>
    <n v="0"/>
    <n v="73"/>
    <m/>
    <n v="0"/>
    <n v="0"/>
    <n v="0"/>
    <n v="0"/>
    <s v="Rest of the World"/>
    <s v="Australia"/>
    <x v="3"/>
  </r>
  <r>
    <s v="16-08-2026"/>
    <s v="XYZ Luxury"/>
    <s v="Growify_Performance Max_Listing_INTL"/>
    <s v="ENABLED"/>
    <n v="0"/>
    <n v="0"/>
    <n v="34"/>
    <m/>
    <n v="0"/>
    <n v="0"/>
    <n v="0"/>
    <n v="0"/>
    <s v="Rest of the World"/>
    <s v="Canada"/>
    <x v="0"/>
  </r>
  <r>
    <d v="2026-04-08T00:00:00"/>
    <s v="XYZ Luxury"/>
    <s v="Growify_XYZ LuxuryP_Search_India-12/12/25"/>
    <s v="ENABLED"/>
    <n v="0"/>
    <n v="0"/>
    <n v="1"/>
    <m/>
    <n v="0"/>
    <n v="0"/>
    <n v="0"/>
    <n v="0"/>
    <s v="India"/>
    <s v="India"/>
    <x v="1"/>
  </r>
  <r>
    <d v="2026-01-08T00:00:00"/>
    <s v="XYZ Luxury"/>
    <s v="Growify_P.max_HP_EOSS_Ind"/>
    <s v="ENABLED"/>
    <n v="0.01"/>
    <n v="0"/>
    <n v="1"/>
    <m/>
    <n v="0"/>
    <n v="10"/>
    <n v="0"/>
    <n v="0"/>
    <s v="India"/>
    <s v="India"/>
    <x v="1"/>
  </r>
  <r>
    <s v="15-08-2026"/>
    <s v="XYZ Luxury"/>
    <s v="Growify_Performance Max_Listing_INTL"/>
    <s v="ENABLED"/>
    <n v="0"/>
    <n v="0"/>
    <n v="51"/>
    <m/>
    <n v="0"/>
    <n v="0"/>
    <n v="0"/>
    <n v="0"/>
    <s v="Rest of the World"/>
    <s v="Australia"/>
    <x v="3"/>
  </r>
  <r>
    <s v="27-08-2026"/>
    <s v="XYZ Luxury"/>
    <s v="Growify_Performance Max_Listing_INTL"/>
    <s v="ENABLED"/>
    <n v="0"/>
    <n v="0"/>
    <n v="2"/>
    <m/>
    <n v="0"/>
    <n v="0"/>
    <n v="0"/>
    <n v="0"/>
    <s v="Rest of the World"/>
    <s v="Australia"/>
    <x v="3"/>
  </r>
  <r>
    <s v="21-08-2026"/>
    <s v="XYZ Luxury"/>
    <s v="Growify_XYZ LuxuryP_Search_INT-5/21/26"/>
    <s v="ENABLED"/>
    <n v="0"/>
    <n v="0"/>
    <n v="2"/>
    <m/>
    <n v="0"/>
    <n v="0"/>
    <n v="0"/>
    <n v="0"/>
    <s v="Rest of the World"/>
    <s v="United Kingdom"/>
    <x v="4"/>
  </r>
  <r>
    <s v="23-08-2026"/>
    <s v="XYZ Luxury"/>
    <s v="Growify_XYZ LuxuryP_Search_INT-5/21/26"/>
    <s v="ENABLED"/>
    <n v="0"/>
    <n v="0"/>
    <n v="7"/>
    <m/>
    <n v="0"/>
    <n v="0"/>
    <n v="0"/>
    <n v="0"/>
    <s v="Rest of the World"/>
    <s v="United Kingdom"/>
    <x v="4"/>
  </r>
  <r>
    <s v="13-08-2026"/>
    <s v="XYZ Luxury"/>
    <s v="Growify_Performance Max_Listing_INTL"/>
    <s v="ENABLED"/>
    <n v="20.506643"/>
    <n v="0"/>
    <n v="65"/>
    <m/>
    <n v="0"/>
    <n v="315.48681499999998"/>
    <n v="0"/>
    <n v="0"/>
    <s v="Rest of the World"/>
    <s v="Australia"/>
    <x v="3"/>
  </r>
  <r>
    <s v="20-08-2026"/>
    <s v="XYZ Luxury"/>
    <s v="Growify_XYZ LuxuryP_Search_INT-5/21/26"/>
    <s v="ENABLED"/>
    <n v="1.37"/>
    <n v="1"/>
    <n v="3"/>
    <n v="1.37"/>
    <n v="0.33333299999999999"/>
    <n v="456.66666700000002"/>
    <n v="0"/>
    <n v="0"/>
    <s v="Rest of the World"/>
    <s v="Australia"/>
    <x v="3"/>
  </r>
  <r>
    <d v="2026-12-08T00:00:00"/>
    <s v="XYZ Luxury"/>
    <s v="Growify_XYZ LuxuryP_Search_INT-5/21/26"/>
    <s v="ENABLED"/>
    <n v="0"/>
    <n v="0"/>
    <n v="4"/>
    <m/>
    <n v="0"/>
    <n v="0"/>
    <n v="0"/>
    <n v="0"/>
    <s v="Rest of the World"/>
    <s v="Australia"/>
    <x v="3"/>
  </r>
  <r>
    <s v="27-08-2026"/>
    <s v="XYZ Luxury"/>
    <s v="Growify_Performance Max_Listing_INTL"/>
    <s v="ENABLED"/>
    <n v="0"/>
    <n v="0"/>
    <n v="17"/>
    <m/>
    <n v="0"/>
    <n v="0"/>
    <n v="0"/>
    <n v="0"/>
    <s v="Rest of the World"/>
    <s v="Canada"/>
    <x v="0"/>
  </r>
  <r>
    <s v="13-08-2026"/>
    <s v="XYZ Luxury"/>
    <s v="Growify_Performance Max_Listing_INTL"/>
    <s v="ENABLED"/>
    <n v="0"/>
    <n v="0"/>
    <n v="27"/>
    <m/>
    <n v="0"/>
    <n v="0"/>
    <n v="0"/>
    <n v="0"/>
    <s v="Rest of the World"/>
    <s v="United Kingdom"/>
    <x v="4"/>
  </r>
  <r>
    <s v="25-08-2026"/>
    <s v="XYZ Luxury"/>
    <s v="Growify_Performance Max_Listing_INTL"/>
    <s v="ENABLED"/>
    <n v="0"/>
    <n v="0"/>
    <n v="6"/>
    <m/>
    <n v="0"/>
    <n v="0"/>
    <n v="0"/>
    <n v="0"/>
    <s v="Rest of the World"/>
    <s v="Australia"/>
    <x v="3"/>
  </r>
  <r>
    <s v="16-08-2026"/>
    <s v="XYZ Luxury"/>
    <s v="Growify_Performance Max_Listing_INTL"/>
    <s v="ENABLED"/>
    <n v="19.327919999999999"/>
    <n v="0"/>
    <n v="86"/>
    <m/>
    <n v="0"/>
    <n v="224.743256"/>
    <n v="0"/>
    <n v="0"/>
    <s v="Rest of the World"/>
    <s v="United Kingdom"/>
    <x v="4"/>
  </r>
  <r>
    <d v="2026-06-08T00:00:00"/>
    <s v="XYZ Luxury"/>
    <s v="Growify_XYZ LuxuryP_Search_INT-5/21/26"/>
    <s v="ENABLED"/>
    <n v="0"/>
    <n v="0"/>
    <n v="9"/>
    <m/>
    <n v="0"/>
    <n v="0"/>
    <n v="0"/>
    <n v="0"/>
    <s v="USA"/>
    <s v="United States"/>
    <x v="2"/>
  </r>
  <r>
    <s v="17-08-2026"/>
    <s v="XYZ Luxury"/>
    <s v="Growify_Performance Max_Listing_INTL"/>
    <s v="ENABLED"/>
    <n v="0"/>
    <n v="0"/>
    <n v="85"/>
    <m/>
    <n v="0"/>
    <n v="0"/>
    <n v="0"/>
    <n v="0"/>
    <s v="Rest of the World"/>
    <s v="United Kingdom"/>
    <x v="4"/>
  </r>
  <r>
    <d v="2026-04-08T00:00:00"/>
    <s v="XYZ Luxury"/>
    <s v="Growify_Performance Max_Listing_IND"/>
    <s v="ENABLED"/>
    <n v="0.83004800000000001"/>
    <n v="0"/>
    <n v="17"/>
    <m/>
    <n v="0"/>
    <n v="48.826352999999997"/>
    <n v="0"/>
    <n v="0"/>
    <s v="India"/>
    <s v="India"/>
    <x v="1"/>
  </r>
  <r>
    <s v="15-08-2026"/>
    <s v="XYZ Luxury"/>
    <s v="Growify_Performance Max_Listing_INTL"/>
    <s v="ENABLED"/>
    <n v="0"/>
    <n v="0"/>
    <n v="106"/>
    <m/>
    <n v="0"/>
    <n v="0"/>
    <n v="0"/>
    <n v="0"/>
    <s v="Rest of the World"/>
    <s v="United Kingdom"/>
    <x v="4"/>
  </r>
  <r>
    <s v="24-08-2026"/>
    <s v="XYZ Luxury"/>
    <s v="Growify_Performance Max_Listing_INTL"/>
    <s v="ENABLED"/>
    <n v="0"/>
    <n v="0"/>
    <n v="43"/>
    <m/>
    <n v="0"/>
    <n v="0"/>
    <n v="0"/>
    <n v="0"/>
    <s v="Rest of the World"/>
    <s v="Australia"/>
    <x v="3"/>
  </r>
  <r>
    <d v="2026-11-08T00:00:00"/>
    <s v="XYZ Luxury"/>
    <s v="Growify_Performance Max_Listing_INTL"/>
    <s v="ENABLED"/>
    <n v="0"/>
    <n v="0"/>
    <n v="172"/>
    <m/>
    <n v="0"/>
    <n v="0"/>
    <n v="0"/>
    <n v="0"/>
    <s v="Rest of the World"/>
    <s v="United Kingdom"/>
    <x v="4"/>
  </r>
  <r>
    <d v="2026-05-08T00:00:00"/>
    <s v="XYZ Luxury"/>
    <s v="Growify_Performance Max_Listing_INTL"/>
    <s v="ENABLED"/>
    <n v="4.0066119999999996"/>
    <n v="0"/>
    <n v="54"/>
    <m/>
    <n v="0"/>
    <n v="74.196518999999995"/>
    <n v="0"/>
    <n v="0"/>
    <s v="Rest of the World"/>
    <s v="Canada"/>
    <x v="0"/>
  </r>
  <r>
    <d v="2026-01-04T00:00:00"/>
    <s v="XYZ Luxury"/>
    <s v="Growify_XYZ LuxuryP_Search_India-12/12/25"/>
    <s v="ENABLED"/>
    <n v="667.890218"/>
    <n v="58"/>
    <n v="89"/>
    <n v="11.515349000000001"/>
    <n v="0.65168499999999996"/>
    <n v="7504.3844719999997"/>
    <n v="0"/>
    <n v="0"/>
    <s v="India"/>
    <s v="India"/>
    <x v="1"/>
  </r>
  <r>
    <d v="2026-02-04T00:00:00"/>
    <s v="XYZ Luxury"/>
    <s v="Growify_XYZ LuxuryP_Search_India-12/12/25"/>
    <s v="ENABLED"/>
    <n v="335.222374"/>
    <n v="56"/>
    <n v="92"/>
    <n v="5.9861139999999997"/>
    <n v="0.60869600000000001"/>
    <n v="3643.7214570000001"/>
    <n v="0.04"/>
    <n v="351.43549999999999"/>
    <s v="India"/>
    <s v="India"/>
    <x v="1"/>
  </r>
  <r>
    <d v="2026-03-04T00:00:00"/>
    <s v="XYZ Luxury"/>
    <s v="Growify_XYZ LuxuryP_Search_India-12/12/25"/>
    <s v="ENABLED"/>
    <n v="278.41049099999998"/>
    <n v="32"/>
    <n v="65"/>
    <n v="8.7003280000000007"/>
    <n v="0.49230800000000002"/>
    <n v="4283.2383229999996"/>
    <n v="0"/>
    <n v="0"/>
    <s v="India"/>
    <s v="India"/>
    <x v="1"/>
  </r>
  <r>
    <d v="2026-04-04T00:00:00"/>
    <s v="XYZ Luxury"/>
    <s v="Growify_XYZ LuxuryP_Search_India-12/12/25"/>
    <s v="ENABLED"/>
    <n v="281.61224199999998"/>
    <n v="48"/>
    <n v="68"/>
    <n v="5.8669219999999997"/>
    <n v="0.70588200000000001"/>
    <n v="4141.3564999999999"/>
    <n v="0"/>
    <n v="0"/>
    <s v="India"/>
    <s v="India"/>
    <x v="1"/>
  </r>
  <r>
    <d v="2026-05-04T00:00:00"/>
    <s v="XYZ Luxury"/>
    <s v="Growify_XYZ LuxuryP_Search_India-12/12/25"/>
    <s v="ENABLED"/>
    <n v="15.335337000000001"/>
    <n v="24"/>
    <n v="39"/>
    <n v="0.63897199999999998"/>
    <n v="0.61538499999999996"/>
    <n v="393.21376900000001"/>
    <n v="0"/>
    <n v="0"/>
    <s v="India"/>
    <s v="India"/>
    <x v="1"/>
  </r>
  <r>
    <d v="2026-06-04T00:00:00"/>
    <s v="XYZ Luxury"/>
    <s v="Growify_XYZ LuxuryP_Search_India-12/12/25"/>
    <s v="ENABLED"/>
    <n v="390.20953200000002"/>
    <n v="80"/>
    <n v="123"/>
    <n v="4.8776190000000001"/>
    <n v="0.65040699999999996"/>
    <n v="3172.4352199999998"/>
    <n v="0"/>
    <n v="0"/>
    <s v="India"/>
    <s v="India"/>
    <x v="1"/>
  </r>
  <r>
    <d v="2026-07-04T00:00:00"/>
    <s v="XYZ Luxury"/>
    <s v="Growify_XYZ LuxuryP_Search_India-12/12/25"/>
    <s v="ENABLED"/>
    <n v="862.06595500000003"/>
    <n v="127"/>
    <n v="186"/>
    <n v="6.7879209999999999"/>
    <n v="0.68279599999999996"/>
    <n v="4634.763199"/>
    <n v="0"/>
    <n v="0"/>
    <s v="India"/>
    <s v="India"/>
    <x v="1"/>
  </r>
  <r>
    <d v="2026-08-04T00:00:00"/>
    <s v="XYZ Luxury"/>
    <s v="Growify_XYZ LuxuryP_Search_India-12/12/25"/>
    <s v="ENABLED"/>
    <n v="1041.3908730000001"/>
    <n v="147"/>
    <n v="233"/>
    <n v="7.0842919999999996"/>
    <n v="0.63090100000000005"/>
    <n v="4469.4887250000002"/>
    <n v="0"/>
    <n v="0"/>
    <s v="India"/>
    <s v="India"/>
    <x v="1"/>
  </r>
  <r>
    <d v="2026-09-04T00:00:00"/>
    <s v="XYZ Luxury"/>
    <s v="Growify_XYZ LuxuryP_Search_India-12/12/25"/>
    <s v="ENABLED"/>
    <n v="648.28855199999998"/>
    <n v="200"/>
    <n v="313"/>
    <n v="3.2414429999999999"/>
    <n v="0.63897800000000005"/>
    <n v="2071.2094310000002"/>
    <n v="0"/>
    <n v="0"/>
    <s v="India"/>
    <s v="India"/>
    <x v="1"/>
  </r>
  <r>
    <d v="2026-10-04T00:00:00"/>
    <s v="XYZ Luxury"/>
    <s v="Growify_XYZ LuxuryP_Search_India-12/12/25"/>
    <s v="ENABLED"/>
    <n v="882.25637099999994"/>
    <n v="245"/>
    <n v="325"/>
    <n v="3.6010460000000002"/>
    <n v="0.75384600000000002"/>
    <n v="2714.6349879999998"/>
    <n v="0"/>
    <n v="0"/>
    <s v="India"/>
    <s v="India"/>
    <x v="1"/>
  </r>
  <r>
    <d v="2026-11-04T00:00:00"/>
    <s v="XYZ Luxury"/>
    <s v="Growify_XYZ LuxuryP_Search_India-12/12/25"/>
    <s v="ENABLED"/>
    <n v="437.90888899999999"/>
    <n v="174"/>
    <n v="233"/>
    <n v="2.516718"/>
    <n v="0.74678100000000003"/>
    <n v="1879.4372920000001"/>
    <n v="0"/>
    <n v="0"/>
    <s v="India"/>
    <s v="India"/>
    <x v="1"/>
  </r>
  <r>
    <d v="2026-12-04T00:00:00"/>
    <s v="XYZ Luxury"/>
    <s v="Growify_XYZ LuxuryP_Search_India-12/12/25"/>
    <s v="ENABLED"/>
    <n v="364.80941000000001"/>
    <n v="163"/>
    <n v="229"/>
    <n v="2.2380949999999999"/>
    <n v="0.71179000000000003"/>
    <n v="1593.0541920000001"/>
    <n v="0"/>
    <n v="0"/>
    <s v="India"/>
    <s v="India"/>
    <x v="1"/>
  </r>
  <r>
    <s v="13-04-2026"/>
    <s v="XYZ Luxury"/>
    <s v="Growify_XYZ LuxuryP_Search_India-12/12/25"/>
    <s v="ENABLED"/>
    <n v="676.08625800000004"/>
    <n v="123"/>
    <n v="186"/>
    <n v="5.4966359999999996"/>
    <n v="0.66129000000000004"/>
    <n v="3634.872355"/>
    <n v="0"/>
    <n v="0"/>
    <s v="India"/>
    <s v="India"/>
    <x v="1"/>
  </r>
  <r>
    <s v="14-04-2026"/>
    <s v="XYZ Luxury"/>
    <s v="Growify_XYZ LuxuryP_Search_India-12/12/25"/>
    <s v="ENABLED"/>
    <n v="246.97152"/>
    <n v="95"/>
    <n v="135"/>
    <n v="2.5996999999999999"/>
    <n v="0.703704"/>
    <n v="1829.4186669999999"/>
    <n v="0.04"/>
    <n v="351.43549999999999"/>
    <s v="India"/>
    <s v="India"/>
    <x v="1"/>
  </r>
  <r>
    <s v="15-04-2026"/>
    <s v="XYZ Luxury"/>
    <s v="Growify_XYZ LuxuryP_Search_India-12/12/25"/>
    <s v="ENABLED"/>
    <n v="111.531099"/>
    <n v="83"/>
    <n v="116"/>
    <n v="1.3437479999999999"/>
    <n v="0.71551699999999996"/>
    <n v="961.47499100000005"/>
    <n v="0"/>
    <n v="0"/>
    <s v="India"/>
    <s v="India"/>
    <x v="1"/>
  </r>
  <r>
    <s v="16-04-2026"/>
    <s v="XYZ Luxury"/>
    <s v="Growify_XYZ LuxuryP_Search_India-12/12/25"/>
    <s v="ENABLED"/>
    <n v="191.310971"/>
    <n v="73"/>
    <n v="118"/>
    <n v="2.620698"/>
    <n v="0.61864399999999997"/>
    <n v="1621.279415"/>
    <n v="0"/>
    <n v="0"/>
    <s v="India"/>
    <s v="India"/>
    <x v="1"/>
  </r>
  <r>
    <s v="17-04-2026"/>
    <s v="XYZ Luxury"/>
    <s v="Growify_XYZ LuxuryP_Search_India-12/12/25"/>
    <s v="ENABLED"/>
    <n v="214.99208899999999"/>
    <n v="76"/>
    <n v="108"/>
    <n v="2.828843"/>
    <n v="0.703704"/>
    <n v="1990.6674909999999"/>
    <n v="1"/>
    <n v="6600"/>
    <s v="India"/>
    <s v="India"/>
    <x v="1"/>
  </r>
  <r>
    <s v="18-04-2026"/>
    <s v="XYZ Luxury"/>
    <s v="Growify_XYZ LuxuryP_Search_India-12/12/25"/>
    <s v="ENABLED"/>
    <n v="262.93422700000002"/>
    <n v="60"/>
    <n v="94"/>
    <n v="4.3822369999999999"/>
    <n v="0.63829800000000003"/>
    <n v="2797.1726279999998"/>
    <n v="1"/>
    <n v="12870"/>
    <s v="India"/>
    <s v="India"/>
    <x v="1"/>
  </r>
  <r>
    <s v="19-04-2026"/>
    <s v="XYZ Luxury"/>
    <s v="Growify_XYZ LuxuryP_Search_India-12/12/25"/>
    <s v="ENABLED"/>
    <n v="179.67695000000001"/>
    <n v="68"/>
    <n v="122"/>
    <n v="2.6423079999999999"/>
    <n v="0.55737700000000001"/>
    <n v="1472.7618849999999"/>
    <n v="0"/>
    <n v="0"/>
    <s v="India"/>
    <s v="India"/>
    <x v="1"/>
  </r>
  <r>
    <s v="20-04-2026"/>
    <s v="XYZ Luxury"/>
    <s v="Growify_XYZ LuxuryP_Search_India-12/12/25"/>
    <s v="ENABLED"/>
    <n v="325.05600399999997"/>
    <n v="60"/>
    <n v="94"/>
    <n v="5.4176000000000002"/>
    <n v="0.63829800000000003"/>
    <n v="3458.0425959999998"/>
    <n v="0"/>
    <n v="0"/>
    <s v="India"/>
    <s v="India"/>
    <x v="1"/>
  </r>
  <r>
    <s v="21-04-2026"/>
    <s v="XYZ Luxury"/>
    <s v="Growify_XYZ LuxuryP_Search_India-12/12/25"/>
    <s v="ENABLED"/>
    <n v="103.997809"/>
    <n v="42"/>
    <n v="86"/>
    <n v="2.4761380000000002"/>
    <n v="0.48837199999999997"/>
    <n v="1209.2768490000001"/>
    <n v="0"/>
    <n v="0"/>
    <s v="India"/>
    <s v="India"/>
    <x v="1"/>
  </r>
  <r>
    <s v="22-04-2026"/>
    <s v="XYZ Luxury"/>
    <s v="Growify_XYZ LuxuryP_Search_India-12/12/25"/>
    <s v="ENABLED"/>
    <n v="81.098232999999993"/>
    <n v="36"/>
    <n v="57"/>
    <n v="2.252729"/>
    <n v="0.631579"/>
    <n v="1422.776018"/>
    <n v="0"/>
    <n v="0"/>
    <s v="India"/>
    <s v="India"/>
    <x v="1"/>
  </r>
  <r>
    <s v="23-04-2026"/>
    <s v="XYZ Luxury"/>
    <s v="Growify_XYZ LuxuryP_Search_India-12/12/25"/>
    <s v="ENABLED"/>
    <n v="119.067165"/>
    <n v="40"/>
    <n v="79"/>
    <n v="2.9766789999999999"/>
    <n v="0.50632900000000003"/>
    <n v="1507.179304"/>
    <n v="7"/>
    <n v="97690"/>
    <s v="India"/>
    <s v="India"/>
    <x v="1"/>
  </r>
  <r>
    <s v="24-04-2026"/>
    <s v="XYZ Luxury"/>
    <s v="Growify_XYZ LuxuryP_Search_India-12/12/25"/>
    <s v="ENABLED"/>
    <n v="23.240264"/>
    <n v="39"/>
    <n v="83"/>
    <n v="0.59590399999999999"/>
    <n v="0.46988000000000002"/>
    <n v="280.00318099999998"/>
    <n v="3"/>
    <n v="29354.5"/>
    <s v="India"/>
    <s v="India"/>
    <x v="1"/>
  </r>
  <r>
    <s v="25-04-2026"/>
    <s v="XYZ Luxury"/>
    <s v="Growify_XYZ LuxuryP_Search_India-12/12/25"/>
    <s v="ENABLED"/>
    <n v="599.09066700000005"/>
    <n v="52"/>
    <n v="76"/>
    <n v="11.520974000000001"/>
    <n v="0.68421100000000001"/>
    <n v="7882.7719340000003"/>
    <n v="0"/>
    <n v="0"/>
    <s v="India"/>
    <s v="India"/>
    <x v="1"/>
  </r>
  <r>
    <s v="26-04-2026"/>
    <s v="XYZ Luxury"/>
    <s v="Growify_XYZ LuxuryP_Search_India-12/12/25"/>
    <s v="ENABLED"/>
    <n v="581.09534799999994"/>
    <n v="40"/>
    <n v="74"/>
    <n v="14.527384"/>
    <n v="0.54054100000000005"/>
    <n v="7852.6398380000001"/>
    <n v="0"/>
    <n v="0"/>
    <s v="India"/>
    <s v="India"/>
    <x v="1"/>
  </r>
  <r>
    <s v="27-04-2026"/>
    <s v="XYZ Luxury"/>
    <s v="Growify_XYZ LuxuryP_Search_India-12/12/25"/>
    <s v="ENABLED"/>
    <n v="754.68914199999995"/>
    <n v="66"/>
    <n v="110"/>
    <n v="11.434684000000001"/>
    <n v="0.6"/>
    <n v="6860.8103819999997"/>
    <n v="0"/>
    <n v="0"/>
    <s v="India"/>
    <s v="India"/>
    <x v="1"/>
  </r>
  <r>
    <s v="28-04-2026"/>
    <s v="XYZ Luxury"/>
    <s v="Growify_XYZ LuxuryP_Search_India-12/12/25"/>
    <s v="ENABLED"/>
    <n v="393.18355100000002"/>
    <n v="45"/>
    <n v="72"/>
    <n v="8.7374120000000008"/>
    <n v="0.625"/>
    <n v="5460.8826529999997"/>
    <n v="0.04"/>
    <n v="351.43549999999999"/>
    <s v="India"/>
    <s v="India"/>
    <x v="1"/>
  </r>
  <r>
    <s v="29-04-2026"/>
    <s v="XYZ Luxury"/>
    <s v="Growify_XYZ LuxuryP_Search_India-12/12/25"/>
    <s v="ENABLED"/>
    <n v="680.55573500000003"/>
    <n v="37"/>
    <n v="62"/>
    <n v="18.393398000000001"/>
    <n v="0.59677400000000003"/>
    <n v="10976.705400000001"/>
    <n v="0"/>
    <n v="0"/>
    <s v="India"/>
    <s v="India"/>
    <x v="1"/>
  </r>
  <r>
    <s v="30-04-2026"/>
    <s v="XYZ Luxury"/>
    <s v="Growify_XYZ LuxuryP_Search_India-12/12/25"/>
    <s v="ENABLED"/>
    <n v="324.98886599999997"/>
    <n v="43"/>
    <n v="78"/>
    <n v="7.5578810000000001"/>
    <n v="0.55128200000000005"/>
    <n v="4166.5239229999997"/>
    <n v="0"/>
    <n v="0"/>
    <s v="India"/>
    <s v="India"/>
    <x v="1"/>
  </r>
  <r>
    <s v="20-04-2026"/>
    <s v="XYZ Luxury"/>
    <s v="Growify_P.max_HP_EOSS_Ind"/>
    <s v="ENABLED"/>
    <n v="1002.709113"/>
    <n v="590"/>
    <n v="13937"/>
    <n v="1.6995070000000001"/>
    <n v="4.2333000000000003E-2"/>
    <n v="71.945836"/>
    <n v="0"/>
    <n v="0"/>
    <s v="India"/>
    <s v="India"/>
    <x v="1"/>
  </r>
  <r>
    <s v="21-04-2026"/>
    <s v="XYZ Luxury"/>
    <s v="Growify_P.max_HP_EOSS_Ind"/>
    <s v="ENABLED"/>
    <n v="973.615681"/>
    <n v="167"/>
    <n v="9195"/>
    <n v="5.8300340000000004"/>
    <n v="1.8162000000000001E-2"/>
    <n v="105.885338"/>
    <n v="0"/>
    <n v="0"/>
    <s v="India"/>
    <s v="India"/>
    <x v="1"/>
  </r>
  <r>
    <s v="22-04-2026"/>
    <s v="XYZ Luxury"/>
    <s v="Growify_P.max_HP_EOSS_Ind"/>
    <s v="ENABLED"/>
    <n v="1032.126389"/>
    <n v="119"/>
    <n v="6035"/>
    <n v="8.6733309999999992"/>
    <n v="1.9717999999999999E-2"/>
    <n v="171.023428"/>
    <n v="0"/>
    <n v="0"/>
    <s v="India"/>
    <s v="India"/>
    <x v="1"/>
  </r>
  <r>
    <s v="23-04-2026"/>
    <s v="XYZ Luxury"/>
    <s v="Growify_P.max_HP_EOSS_Ind"/>
    <s v="ENABLED"/>
    <n v="1001.419112"/>
    <n v="191"/>
    <n v="6644"/>
    <n v="5.2430320000000004"/>
    <n v="2.8747999999999999E-2"/>
    <n v="150.72533300000001"/>
    <n v="0"/>
    <n v="0"/>
    <s v="India"/>
    <s v="India"/>
    <x v="1"/>
  </r>
  <r>
    <s v="24-04-2026"/>
    <s v="XYZ Luxury"/>
    <s v="Growify_P.max_HP_EOSS_Ind"/>
    <s v="ENABLED"/>
    <n v="1152.4030780000001"/>
    <n v="275"/>
    <n v="1436"/>
    <n v="4.1905570000000001"/>
    <n v="0.19150400000000001"/>
    <n v="802.50910699999997"/>
    <n v="13"/>
    <n v="220118.39999999999"/>
    <s v="India"/>
    <s v="India"/>
    <x v="1"/>
  </r>
  <r>
    <s v="25-04-2026"/>
    <s v="XYZ Luxury"/>
    <s v="Growify_P.max_HP_EOSS_Ind"/>
    <s v="ENABLED"/>
    <n v="230.99427900000001"/>
    <n v="104"/>
    <n v="4286"/>
    <n v="2.2210990000000002"/>
    <n v="2.4264999999999998E-2"/>
    <n v="53.895071999999999"/>
    <n v="0"/>
    <n v="0"/>
    <s v="India"/>
    <s v="India"/>
    <x v="1"/>
  </r>
  <r>
    <s v="26-04-2026"/>
    <s v="XYZ Luxury"/>
    <s v="Growify_P.max_HP_EOSS_Ind"/>
    <s v="ENABLED"/>
    <n v="1611.0929100000001"/>
    <n v="400"/>
    <n v="18465"/>
    <n v="4.0277320000000003"/>
    <n v="2.1663000000000002E-2"/>
    <n v="87.251172999999994"/>
    <n v="0"/>
    <n v="0"/>
    <s v="India"/>
    <s v="India"/>
    <x v="1"/>
  </r>
  <r>
    <s v="27-04-2026"/>
    <s v="XYZ Luxury"/>
    <s v="Growify_P.max_HP_EOSS_Ind"/>
    <s v="ENABLED"/>
    <n v="1133.310616"/>
    <n v="231"/>
    <n v="10986"/>
    <n v="4.9061070000000004"/>
    <n v="2.1027000000000001E-2"/>
    <n v="103.159532"/>
    <n v="1"/>
    <n v="4200"/>
    <s v="India"/>
    <s v="India"/>
    <x v="1"/>
  </r>
  <r>
    <s v="28-04-2026"/>
    <s v="XYZ Luxury"/>
    <s v="Growify_P.max_HP_EOSS_Ind"/>
    <s v="ENABLED"/>
    <n v="764.67174399999999"/>
    <n v="237"/>
    <n v="10029"/>
    <n v="3.2264629999999999"/>
    <n v="2.3630999999999999E-2"/>
    <n v="76.246060999999997"/>
    <n v="0"/>
    <n v="0"/>
    <s v="India"/>
    <s v="India"/>
    <x v="1"/>
  </r>
  <r>
    <s v="29-04-2026"/>
    <s v="XYZ Luxury"/>
    <s v="Growify_P.max_HP_EOSS_Ind"/>
    <s v="ENABLED"/>
    <n v="1117.78117"/>
    <n v="301"/>
    <n v="12528"/>
    <n v="3.7135590000000001"/>
    <n v="2.4025999999999999E-2"/>
    <n v="89.222634999999997"/>
    <n v="0"/>
    <n v="0"/>
    <s v="India"/>
    <s v="India"/>
    <x v="1"/>
  </r>
  <r>
    <s v="30-04-2026"/>
    <s v="XYZ Luxury"/>
    <s v="Growify_P.max_HP_EOSS_Ind"/>
    <s v="ENABLED"/>
    <n v="903.56658900000002"/>
    <n v="356"/>
    <n v="13123"/>
    <n v="2.5381079999999998"/>
    <n v="2.7127999999999999E-2"/>
    <n v="68.853661000000002"/>
    <n v="0.01"/>
    <n v="31.206"/>
    <s v="India"/>
    <s v="India"/>
    <x v="1"/>
  </r>
  <r>
    <s v="26-05-2026"/>
    <s v="XYZ Luxury"/>
    <s v="Growify_XYZ LuxuryP_Search_INT-5/21/26"/>
    <s v="ENABLED"/>
    <n v="3.11"/>
    <n v="3"/>
    <n v="7"/>
    <n v="1.036667"/>
    <n v="0.42857099999999998"/>
    <n v="444.28571399999998"/>
    <n v="0"/>
    <n v="0"/>
    <s v="Rest of the World"/>
    <s v="Canada"/>
    <x v="0"/>
  </r>
  <r>
    <s v="27-05-2026"/>
    <s v="XYZ Luxury"/>
    <s v="Growify_XYZ LuxuryP_Search_INT-5/21/26"/>
    <s v="ENABLED"/>
    <n v="8.34"/>
    <n v="6"/>
    <n v="18"/>
    <n v="1.39"/>
    <n v="0.33333299999999999"/>
    <n v="463.33333299999998"/>
    <n v="0"/>
    <n v="0"/>
    <s v="Rest of the World"/>
    <s v="Canada"/>
    <x v="0"/>
  </r>
  <r>
    <s v="28-05-2026"/>
    <s v="XYZ Luxury"/>
    <s v="Growify_XYZ LuxuryP_Search_INT-5/21/26"/>
    <s v="ENABLED"/>
    <n v="321.19646399999999"/>
    <n v="11"/>
    <n v="28"/>
    <n v="29.199679"/>
    <n v="0.39285700000000001"/>
    <n v="11471.30229"/>
    <n v="1"/>
    <n v="10560"/>
    <s v="Rest of the World"/>
    <s v="Canada"/>
    <x v="0"/>
  </r>
  <r>
    <s v="29-05-2026"/>
    <s v="XYZ Luxury"/>
    <s v="Growify_XYZ LuxuryP_Search_INT-5/21/26"/>
    <s v="ENABLED"/>
    <n v="145.810641"/>
    <n v="17"/>
    <n v="29"/>
    <n v="8.5770970000000002"/>
    <n v="0.58620700000000003"/>
    <n v="5027.9531379999999"/>
    <n v="0"/>
    <n v="0"/>
    <s v="Rest of the World"/>
    <s v="Canada"/>
    <x v="0"/>
  </r>
  <r>
    <s v="30-05-2026"/>
    <s v="XYZ Luxury"/>
    <s v="Growify_XYZ LuxuryP_Search_INT-5/21/26"/>
    <s v="ENABLED"/>
    <n v="170.608037"/>
    <n v="13"/>
    <n v="27"/>
    <n v="13.123695"/>
    <n v="0.48148099999999999"/>
    <n v="6318.8161849999997"/>
    <n v="0"/>
    <n v="0"/>
    <s v="Rest of the World"/>
    <s v="Canada"/>
    <x v="0"/>
  </r>
  <r>
    <s v="31-05-2026"/>
    <s v="XYZ Luxury"/>
    <s v="Growify_XYZ LuxuryP_Search_INT-5/21/26"/>
    <s v="ENABLED"/>
    <n v="210.856843"/>
    <n v="8"/>
    <n v="23"/>
    <n v="26.357105000000001"/>
    <n v="0.34782600000000002"/>
    <n v="9167.6888259999996"/>
    <n v="0"/>
    <n v="0"/>
    <s v="Rest of the World"/>
    <s v="Canada"/>
    <x v="0"/>
  </r>
  <r>
    <s v="28-05-2026"/>
    <s v="XYZ Luxury"/>
    <s v="Growify | Shopping Ads | All Product | EOSS"/>
    <s v="PAUSED"/>
    <n v="511.48"/>
    <n v="62"/>
    <n v="3318"/>
    <n v="8.2496770000000001"/>
    <n v="1.8686000000000001E-2"/>
    <n v="154.15310400000001"/>
    <n v="0"/>
    <n v="0"/>
    <s v="India"/>
    <s v="India"/>
    <x v="1"/>
  </r>
  <r>
    <s v="29-05-2026"/>
    <s v="XYZ Luxury"/>
    <s v="Growify | Shopping Ads | All Product | EOSS"/>
    <s v="PAUSED"/>
    <n v="1013.51"/>
    <n v="126"/>
    <n v="7105"/>
    <n v="8.04373"/>
    <n v="1.7734E-2"/>
    <n v="142.64743100000001"/>
    <n v="0"/>
    <n v="0"/>
    <s v="India"/>
    <s v="India"/>
    <x v="1"/>
  </r>
  <r>
    <s v="30-05-2026"/>
    <s v="XYZ Luxury"/>
    <s v="Growify | Shopping Ads | All Product | EOSS"/>
    <s v="PAUSED"/>
    <n v="1013.01"/>
    <n v="117"/>
    <n v="7096"/>
    <n v="8.6582050000000006"/>
    <n v="1.6487999999999999E-2"/>
    <n v="142.757892"/>
    <n v="0"/>
    <n v="0"/>
    <s v="India"/>
    <s v="India"/>
    <x v="1"/>
  </r>
  <r>
    <s v="31-05-2026"/>
    <s v="XYZ Luxury"/>
    <s v="Growify | Shopping Ads | All Product | EOSS"/>
    <s v="PAUSED"/>
    <n v="973.43"/>
    <n v="97"/>
    <n v="7845"/>
    <n v="10.035361"/>
    <n v="1.2364999999999999E-2"/>
    <n v="124.082855"/>
    <n v="0"/>
    <n v="0"/>
    <s v="India"/>
    <s v="India"/>
    <x v="1"/>
  </r>
  <r>
    <d v="2026-01-05T00:00:00"/>
    <s v="XYZ Luxury"/>
    <s v="Growify_XYZ LuxuryP_Search_India-12/12/25"/>
    <s v="ENABLED"/>
    <n v="109.716909"/>
    <n v="27"/>
    <n v="54"/>
    <n v="4.0635890000000003"/>
    <n v="0.5"/>
    <n v="2031.794611"/>
    <n v="0"/>
    <n v="0"/>
    <s v="India"/>
    <s v="India"/>
    <x v="1"/>
  </r>
  <r>
    <d v="2026-02-05T00:00:00"/>
    <s v="XYZ Luxury"/>
    <s v="Growify_XYZ LuxuryP_Search_India-12/12/25"/>
    <s v="ENABLED"/>
    <n v="243.77477300000001"/>
    <n v="51"/>
    <n v="86"/>
    <n v="4.7798980000000002"/>
    <n v="0.59302299999999997"/>
    <n v="2834.5903840000001"/>
    <n v="0.04"/>
    <n v="351.44394999999997"/>
    <s v="India"/>
    <s v="India"/>
    <x v="1"/>
  </r>
  <r>
    <d v="2026-03-05T00:00:00"/>
    <s v="XYZ Luxury"/>
    <s v="Growify_XYZ LuxuryP_Search_India-12/12/25"/>
    <s v="ENABLED"/>
    <n v="331.21463899999998"/>
    <n v="40"/>
    <n v="63"/>
    <n v="8.2803660000000008"/>
    <n v="0.63492099999999996"/>
    <n v="5257.3752219999997"/>
    <n v="0"/>
    <n v="0"/>
    <s v="India"/>
    <s v="India"/>
    <x v="1"/>
  </r>
  <r>
    <d v="2026-04-05T00:00:00"/>
    <s v="XYZ Luxury"/>
    <s v="Growify_XYZ LuxuryP_Search_India-12/12/25"/>
    <s v="ENABLED"/>
    <n v="291.57010700000001"/>
    <n v="34"/>
    <n v="64"/>
    <n v="8.5755909999999993"/>
    <n v="0.53125"/>
    <n v="4555.7829220000003"/>
    <n v="2"/>
    <n v="41300"/>
    <s v="India"/>
    <s v="India"/>
    <x v="1"/>
  </r>
  <r>
    <d v="2026-05-05T00:00:00"/>
    <s v="XYZ Luxury"/>
    <s v="Growify_XYZ LuxuryP_Search_India-12/12/25"/>
    <s v="ENABLED"/>
    <n v="80.397962000000007"/>
    <n v="37"/>
    <n v="88"/>
    <n v="2.1729180000000001"/>
    <n v="0.42045500000000002"/>
    <n v="913.61320499999999"/>
    <n v="0"/>
    <n v="0"/>
    <s v="India"/>
    <s v="India"/>
    <x v="1"/>
  </r>
  <r>
    <d v="2026-06-05T00:00:00"/>
    <s v="XYZ Luxury"/>
    <s v="Growify_XYZ LuxuryP_Search_India-12/12/25"/>
    <s v="ENABLED"/>
    <n v="171.17989"/>
    <n v="54"/>
    <n v="120"/>
    <n v="3.1699980000000001"/>
    <n v="0.45"/>
    <n v="1426.4990829999999"/>
    <n v="1"/>
    <n v="7700"/>
    <s v="India"/>
    <s v="India"/>
    <x v="1"/>
  </r>
  <r>
    <d v="2026-07-05T00:00:00"/>
    <s v="XYZ Luxury"/>
    <s v="Growify_XYZ LuxuryP_Search_India-12/12/25"/>
    <s v="ENABLED"/>
    <n v="101.22883899999999"/>
    <n v="45"/>
    <n v="80"/>
    <n v="2.24953"/>
    <n v="0.5625"/>
    <n v="1265.3604869999999"/>
    <n v="0"/>
    <n v="0"/>
    <s v="India"/>
    <s v="India"/>
    <x v="1"/>
  </r>
  <r>
    <d v="2026-08-05T00:00:00"/>
    <s v="XYZ Luxury"/>
    <s v="Growify_XYZ LuxuryP_Search_India-12/12/25"/>
    <s v="ENABLED"/>
    <n v="32.964194999999997"/>
    <n v="36"/>
    <n v="72"/>
    <n v="0.91567200000000004"/>
    <n v="0.5"/>
    <n v="457.83604200000002"/>
    <n v="0"/>
    <n v="0"/>
    <s v="India"/>
    <s v="India"/>
    <x v="1"/>
  </r>
  <r>
    <d v="2026-09-05T00:00:00"/>
    <s v="XYZ Luxury"/>
    <s v="Growify_XYZ LuxuryP_Search_India-12/12/25"/>
    <s v="ENABLED"/>
    <n v="69.783629000000005"/>
    <n v="33"/>
    <n v="70"/>
    <n v="2.114655"/>
    <n v="0.47142899999999999"/>
    <n v="996.90898600000003"/>
    <n v="0"/>
    <n v="0"/>
    <s v="India"/>
    <s v="India"/>
    <x v="1"/>
  </r>
  <r>
    <d v="2026-10-05T00:00:00"/>
    <s v="XYZ Luxury"/>
    <s v="Growify_XYZ LuxuryP_Search_India-12/12/25"/>
    <s v="ENABLED"/>
    <n v="76.647819999999996"/>
    <n v="36"/>
    <n v="77"/>
    <n v="2.1291060000000002"/>
    <n v="0.467532"/>
    <n v="995.42623400000002"/>
    <n v="1"/>
    <n v="19470"/>
    <s v="India"/>
    <s v="India"/>
    <x v="1"/>
  </r>
  <r>
    <d v="2026-11-05T00:00:00"/>
    <s v="XYZ Luxury"/>
    <s v="Growify_XYZ LuxuryP_Search_India-12/12/25"/>
    <s v="ENABLED"/>
    <n v="58.530752999999997"/>
    <n v="42"/>
    <n v="81"/>
    <n v="1.393589"/>
    <n v="0.51851899999999995"/>
    <n v="722.60188900000003"/>
    <n v="1"/>
    <n v="19250"/>
    <s v="India"/>
    <s v="India"/>
    <x v="1"/>
  </r>
  <r>
    <d v="2026-12-05T00:00:00"/>
    <s v="XYZ Luxury"/>
    <s v="Growify_XYZ LuxuryP_Search_India-12/12/25"/>
    <s v="ENABLED"/>
    <n v="120.200647"/>
    <n v="34"/>
    <n v="67"/>
    <n v="3.5353129999999999"/>
    <n v="0.507463"/>
    <n v="1794.039507"/>
    <n v="0"/>
    <n v="0"/>
    <s v="India"/>
    <s v="India"/>
    <x v="1"/>
  </r>
  <r>
    <s v="13-05-2026"/>
    <s v="XYZ Luxury"/>
    <s v="Growify_XYZ LuxuryP_Search_India-12/12/25"/>
    <s v="ENABLED"/>
    <n v="36.564076"/>
    <n v="39"/>
    <n v="74"/>
    <n v="0.93754000000000004"/>
    <n v="0.52702700000000002"/>
    <n v="494.10913499999998"/>
    <n v="0"/>
    <n v="0"/>
    <s v="India"/>
    <s v="India"/>
    <x v="1"/>
  </r>
  <r>
    <s v="14-05-2026"/>
    <s v="XYZ Luxury"/>
    <s v="Growify_XYZ LuxuryP_Search_India-12/12/25"/>
    <s v="ENABLED"/>
    <n v="215.71771200000001"/>
    <n v="36"/>
    <n v="66"/>
    <n v="5.992159"/>
    <n v="0.54545500000000002"/>
    <n v="3268.450182"/>
    <n v="0"/>
    <n v="0"/>
    <s v="India"/>
    <s v="India"/>
    <x v="1"/>
  </r>
  <r>
    <s v="15-05-2026"/>
    <s v="XYZ Luxury"/>
    <s v="Growify_XYZ LuxuryP_Search_India-12/12/25"/>
    <s v="ENABLED"/>
    <n v="14.742523"/>
    <n v="23"/>
    <n v="41"/>
    <n v="0.64097899999999997"/>
    <n v="0.56097600000000003"/>
    <n v="359.57373200000001"/>
    <n v="0"/>
    <n v="0"/>
    <s v="India"/>
    <s v="India"/>
    <x v="1"/>
  </r>
  <r>
    <s v="16-05-2026"/>
    <s v="XYZ Luxury"/>
    <s v="Growify_XYZ LuxuryP_Search_India-12/12/25"/>
    <s v="ENABLED"/>
    <n v="105.570328"/>
    <n v="21"/>
    <n v="37"/>
    <n v="5.027158"/>
    <n v="0.56756799999999996"/>
    <n v="2853.2521080000001"/>
    <n v="0"/>
    <n v="0"/>
    <s v="India"/>
    <s v="India"/>
    <x v="1"/>
  </r>
  <r>
    <s v="17-05-2026"/>
    <s v="XYZ Luxury"/>
    <s v="Growify_XYZ LuxuryP_Search_India-12/12/25"/>
    <s v="ENABLED"/>
    <n v="153.19108800000001"/>
    <n v="31"/>
    <n v="55"/>
    <n v="4.9416479999999998"/>
    <n v="0.56363600000000003"/>
    <n v="2785.2925089999999"/>
    <n v="1"/>
    <n v="10527"/>
    <s v="India"/>
    <s v="India"/>
    <x v="1"/>
  </r>
  <r>
    <s v="18-05-2026"/>
    <s v="XYZ Luxury"/>
    <s v="Growify_XYZ LuxuryP_Search_India-12/12/25"/>
    <s v="ENABLED"/>
    <n v="178.56026299999999"/>
    <n v="28"/>
    <n v="50"/>
    <n v="6.3771519999999997"/>
    <n v="0.56000000000000005"/>
    <n v="3571.2052600000002"/>
    <n v="1"/>
    <n v="5500"/>
    <s v="India"/>
    <s v="India"/>
    <x v="1"/>
  </r>
  <r>
    <s v="19-05-2026"/>
    <s v="XYZ Luxury"/>
    <s v="Growify_XYZ LuxuryP_Search_India-12/12/25"/>
    <s v="ENABLED"/>
    <n v="121.58591199999999"/>
    <n v="29"/>
    <n v="60"/>
    <n v="4.1926180000000004"/>
    <n v="0.48333300000000001"/>
    <n v="2026.431867"/>
    <n v="0"/>
    <n v="0"/>
    <s v="India"/>
    <s v="India"/>
    <x v="1"/>
  </r>
  <r>
    <s v="20-05-2026"/>
    <s v="XYZ Luxury"/>
    <s v="Growify_XYZ LuxuryP_Search_India-12/12/25"/>
    <s v="ENABLED"/>
    <n v="31.88"/>
    <n v="24"/>
    <n v="51"/>
    <n v="1.328333"/>
    <n v="0.47058800000000001"/>
    <n v="625.09803899999997"/>
    <n v="0.79"/>
    <n v="6692.81405"/>
    <s v="India"/>
    <s v="India"/>
    <x v="1"/>
  </r>
  <r>
    <s v="21-05-2026"/>
    <s v="XYZ Luxury"/>
    <s v="Growify_XYZ LuxuryP_Search_India-12/12/25"/>
    <s v="ENABLED"/>
    <n v="98.507684999999995"/>
    <n v="26"/>
    <n v="41"/>
    <n v="3.7887569999999999"/>
    <n v="0.63414599999999999"/>
    <n v="2402.6264630000001"/>
    <n v="0.47"/>
    <n v="9974.3660899999995"/>
    <s v="India"/>
    <s v="India"/>
    <x v="1"/>
  </r>
  <r>
    <s v="22-05-2026"/>
    <s v="XYZ Luxury"/>
    <s v="Growify_XYZ LuxuryP_Search_India-12/12/25"/>
    <s v="ENABLED"/>
    <n v="130.08351999999999"/>
    <n v="22"/>
    <n v="48"/>
    <n v="5.9128869999999996"/>
    <n v="0.45833299999999999"/>
    <n v="2710.0733329999998"/>
    <n v="0"/>
    <n v="0"/>
    <s v="India"/>
    <s v="India"/>
    <x v="1"/>
  </r>
  <r>
    <s v="23-05-2026"/>
    <s v="XYZ Luxury"/>
    <s v="Growify_XYZ LuxuryP_Search_India-12/12/25"/>
    <s v="ENABLED"/>
    <n v="60.756925000000003"/>
    <n v="24"/>
    <n v="61"/>
    <n v="2.531539"/>
    <n v="0.39344299999999999"/>
    <n v="996.01516400000003"/>
    <n v="0"/>
    <n v="0"/>
    <s v="India"/>
    <s v="India"/>
    <x v="1"/>
  </r>
  <r>
    <s v="24-05-2026"/>
    <s v="XYZ Luxury"/>
    <s v="Growify_XYZ LuxuryP_Search_India-12/12/25"/>
    <s v="ENABLED"/>
    <n v="138.055328"/>
    <n v="37"/>
    <n v="72"/>
    <n v="3.7312249999999998"/>
    <n v="0.51388900000000004"/>
    <n v="1917.435111"/>
    <n v="0"/>
    <n v="0"/>
    <s v="India"/>
    <s v="India"/>
    <x v="1"/>
  </r>
  <r>
    <s v="25-05-2026"/>
    <s v="XYZ Luxury"/>
    <s v="Growify_XYZ LuxuryP_Search_India-12/12/25"/>
    <s v="ENABLED"/>
    <n v="127.923407"/>
    <n v="39"/>
    <n v="75"/>
    <n v="3.280087"/>
    <n v="0.52"/>
    <n v="1705.6454269999999"/>
    <n v="0"/>
    <n v="0"/>
    <s v="India"/>
    <s v="India"/>
    <x v="1"/>
  </r>
  <r>
    <s v="26-05-2026"/>
    <s v="XYZ Luxury"/>
    <s v="Growify_XYZ LuxuryP_Search_India-12/12/25"/>
    <s v="ENABLED"/>
    <n v="82.268741000000006"/>
    <n v="26"/>
    <n v="47"/>
    <n v="3.1641819999999998"/>
    <n v="0.55319099999999999"/>
    <n v="1750.398745"/>
    <n v="0"/>
    <n v="0"/>
    <s v="India"/>
    <s v="India"/>
    <x v="1"/>
  </r>
  <r>
    <s v="27-05-2026"/>
    <s v="XYZ Luxury"/>
    <s v="Growify_XYZ LuxuryP_Search_India-12/12/25"/>
    <s v="ENABLED"/>
    <n v="88.463623999999996"/>
    <n v="59"/>
    <n v="85"/>
    <n v="1.4993829999999999"/>
    <n v="0.69411800000000001"/>
    <n v="1040.7485180000001"/>
    <n v="0"/>
    <n v="0"/>
    <s v="India"/>
    <s v="India"/>
    <x v="1"/>
  </r>
  <r>
    <s v="28-05-2026"/>
    <s v="XYZ Luxury"/>
    <s v="Growify_XYZ LuxuryP_Search_India-12/12/25"/>
    <s v="ENABLED"/>
    <n v="191.591905"/>
    <n v="60"/>
    <n v="118"/>
    <n v="3.1931980000000002"/>
    <n v="0.50847500000000001"/>
    <n v="1623.660212"/>
    <n v="3"/>
    <n v="74980"/>
    <s v="India"/>
    <s v="India"/>
    <x v="1"/>
  </r>
  <r>
    <s v="29-05-2026"/>
    <s v="XYZ Luxury"/>
    <s v="Growify_XYZ LuxuryP_Search_India-12/12/25"/>
    <s v="ENABLED"/>
    <n v="82.692499999999995"/>
    <n v="56"/>
    <n v="102"/>
    <n v="1.4766520000000001"/>
    <n v="0.54901999999999995"/>
    <n v="810.71078399999999"/>
    <n v="2"/>
    <n v="29807"/>
    <s v="India"/>
    <s v="India"/>
    <x v="1"/>
  </r>
  <r>
    <s v="30-05-2026"/>
    <s v="XYZ Luxury"/>
    <s v="Growify_XYZ LuxuryP_Search_India-12/12/25"/>
    <s v="ENABLED"/>
    <n v="346.98437999999999"/>
    <n v="58"/>
    <n v="105"/>
    <n v="5.9824890000000002"/>
    <n v="0.55238100000000001"/>
    <n v="3304.613143"/>
    <n v="0"/>
    <n v="0"/>
    <s v="India"/>
    <s v="India"/>
    <x v="1"/>
  </r>
  <r>
    <s v="31-05-2026"/>
    <s v="XYZ Luxury"/>
    <s v="Growify_XYZ LuxuryP_Search_India-12/12/25"/>
    <s v="ENABLED"/>
    <n v="851.29964700000005"/>
    <n v="46"/>
    <n v="170"/>
    <n v="18.506513999999999"/>
    <n v="0.270588"/>
    <n v="5007.6449819999998"/>
    <n v="0"/>
    <n v="0"/>
    <s v="India"/>
    <s v="India"/>
    <x v="1"/>
  </r>
  <r>
    <d v="2026-01-05T00:00:00"/>
    <s v="XYZ Luxury"/>
    <s v="Growify_P.max_HP_EOSS_Ind"/>
    <s v="ENABLED"/>
    <n v="968.07601999999997"/>
    <n v="311"/>
    <n v="9815"/>
    <n v="3.1127850000000001"/>
    <n v="3.1685999999999999E-2"/>
    <n v="98.632300000000001"/>
    <n v="0"/>
    <n v="0"/>
    <s v="India"/>
    <s v="India"/>
    <x v="1"/>
  </r>
  <r>
    <d v="2026-02-05T00:00:00"/>
    <s v="XYZ Luxury"/>
    <s v="Growify_P.max_HP_EOSS_Ind"/>
    <s v="ENABLED"/>
    <n v="884.73079800000005"/>
    <n v="284"/>
    <n v="13486"/>
    <n v="3.1152489999999999"/>
    <n v="2.1059000000000001E-2"/>
    <n v="65.603648000000007"/>
    <n v="0"/>
    <n v="0"/>
    <s v="India"/>
    <s v="India"/>
    <x v="1"/>
  </r>
  <r>
    <d v="2026-03-05T00:00:00"/>
    <s v="XYZ Luxury"/>
    <s v="Growify_P.max_HP_EOSS_Ind"/>
    <s v="ENABLED"/>
    <n v="1163.8321189999999"/>
    <n v="281"/>
    <n v="11759"/>
    <n v="4.1417510000000002"/>
    <n v="2.3897000000000002E-2"/>
    <n v="98.973731999999998"/>
    <n v="0"/>
    <n v="0"/>
    <s v="India"/>
    <s v="India"/>
    <x v="1"/>
  </r>
  <r>
    <d v="2026-04-05T00:00:00"/>
    <s v="XYZ Luxury"/>
    <s v="Growify_P.max_HP_EOSS_Ind"/>
    <s v="ENABLED"/>
    <n v="853.23476200000005"/>
    <n v="297"/>
    <n v="11409"/>
    <n v="2.8728440000000002"/>
    <n v="2.6032E-2"/>
    <n v="74.786113"/>
    <n v="0"/>
    <n v="0"/>
    <s v="India"/>
    <s v="India"/>
    <x v="1"/>
  </r>
  <r>
    <d v="2026-05-05T00:00:00"/>
    <s v="XYZ Luxury"/>
    <s v="Growify_P.max_HP_EOSS_Ind"/>
    <s v="ENABLED"/>
    <n v="944.98498700000005"/>
    <n v="317"/>
    <n v="14473"/>
    <n v="2.9810249999999998"/>
    <n v="2.1902999999999999E-2"/>
    <n v="65.292957999999999"/>
    <n v="1"/>
    <n v="17550"/>
    <s v="India"/>
    <s v="India"/>
    <x v="1"/>
  </r>
  <r>
    <d v="2026-06-05T00:00:00"/>
    <s v="XYZ Luxury"/>
    <s v="Growify_P.max_HP_EOSS_Ind"/>
    <s v="ENABLED"/>
    <n v="651.09471699999995"/>
    <n v="219"/>
    <n v="9072"/>
    <n v="2.9730349999999999"/>
    <n v="2.4140000000000002E-2"/>
    <n v="71.7697"/>
    <n v="0"/>
    <n v="0"/>
    <s v="India"/>
    <s v="India"/>
    <x v="1"/>
  </r>
  <r>
    <d v="2026-07-05T00:00:00"/>
    <s v="XYZ Luxury"/>
    <s v="Growify_P.max_HP_EOSS_Ind"/>
    <s v="ENABLED"/>
    <n v="1466.707345"/>
    <n v="340"/>
    <n v="15002"/>
    <n v="4.3138449999999997"/>
    <n v="2.2664E-2"/>
    <n v="97.767454000000001"/>
    <n v="0"/>
    <n v="0"/>
    <s v="India"/>
    <s v="India"/>
    <x v="1"/>
  </r>
  <r>
    <d v="2026-08-05T00:00:00"/>
    <s v="XYZ Luxury"/>
    <s v="Growify_P.max_HP_EOSS_Ind"/>
    <s v="ENABLED"/>
    <n v="928.031114"/>
    <n v="253"/>
    <n v="14473"/>
    <n v="3.668107"/>
    <n v="1.7481E-2"/>
    <n v="64.121544999999998"/>
    <n v="0"/>
    <n v="0"/>
    <s v="India"/>
    <s v="India"/>
    <x v="1"/>
  </r>
  <r>
    <d v="2026-09-05T00:00:00"/>
    <s v="XYZ Luxury"/>
    <s v="Growify_P.max_HP_EOSS_Ind"/>
    <s v="ENABLED"/>
    <n v="1261.891239"/>
    <n v="209"/>
    <n v="10786"/>
    <n v="6.037757"/>
    <n v="1.9376999999999998E-2"/>
    <n v="116.99344000000001"/>
    <n v="0"/>
    <n v="0"/>
    <s v="India"/>
    <s v="India"/>
    <x v="1"/>
  </r>
  <r>
    <d v="2026-10-05T00:00:00"/>
    <s v="XYZ Luxury"/>
    <s v="Growify_P.max_HP_EOSS_Ind"/>
    <s v="ENABLED"/>
    <n v="657.45840099999998"/>
    <n v="152"/>
    <n v="7121"/>
    <n v="4.3253839999999997"/>
    <n v="2.1344999999999999E-2"/>
    <n v="92.326695999999998"/>
    <n v="0"/>
    <n v="0"/>
    <s v="India"/>
    <s v="India"/>
    <x v="1"/>
  </r>
  <r>
    <d v="2026-11-05T00:00:00"/>
    <s v="XYZ Luxury"/>
    <s v="Growify_P.max_HP_EOSS_Ind"/>
    <s v="ENABLED"/>
    <n v="692.01806699999997"/>
    <n v="104"/>
    <n v="4849"/>
    <n v="6.65402"/>
    <n v="2.1447999999999998E-2"/>
    <n v="142.71356299999999"/>
    <n v="1"/>
    <n v="18113.7"/>
    <s v="India"/>
    <s v="India"/>
    <x v="1"/>
  </r>
  <r>
    <d v="2026-12-05T00:00:00"/>
    <s v="XYZ Luxury"/>
    <s v="Growify_P.max_HP_EOSS_Ind"/>
    <s v="ENABLED"/>
    <n v="673.88022899999999"/>
    <n v="216"/>
    <n v="9893"/>
    <n v="3.1198160000000001"/>
    <n v="2.1833999999999999E-2"/>
    <n v="68.116872999999998"/>
    <n v="0"/>
    <n v="0"/>
    <s v="India"/>
    <s v="India"/>
    <x v="1"/>
  </r>
  <r>
    <s v="13-05-2026"/>
    <s v="XYZ Luxury"/>
    <s v="Growify_P.max_HP_EOSS_Ind"/>
    <s v="ENABLED"/>
    <n v="574.56893400000001"/>
    <n v="163"/>
    <n v="9105"/>
    <n v="3.5249630000000001"/>
    <n v="1.7902000000000001E-2"/>
    <n v="63.104770000000002"/>
    <n v="0"/>
    <n v="0"/>
    <s v="India"/>
    <s v="India"/>
    <x v="1"/>
  </r>
  <r>
    <s v="14-05-2026"/>
    <s v="XYZ Luxury"/>
    <s v="Growify_P.max_HP_EOSS_Ind"/>
    <s v="ENABLED"/>
    <n v="675.26495199999999"/>
    <n v="125"/>
    <n v="6175"/>
    <n v="5.40212"/>
    <n v="2.0243000000000001E-2"/>
    <n v="109.354648"/>
    <n v="1"/>
    <n v="12870"/>
    <s v="India"/>
    <s v="India"/>
    <x v="1"/>
  </r>
  <r>
    <s v="15-05-2026"/>
    <s v="XYZ Luxury"/>
    <s v="Growify_P.max_HP_EOSS_Ind"/>
    <s v="ENABLED"/>
    <n v="960.99953100000005"/>
    <n v="152"/>
    <n v="6623"/>
    <n v="6.3223649999999996"/>
    <n v="2.2950000000000002E-2"/>
    <n v="145.100337"/>
    <n v="0"/>
    <n v="0"/>
    <s v="India"/>
    <s v="India"/>
    <x v="1"/>
  </r>
  <r>
    <s v="16-05-2026"/>
    <s v="XYZ Luxury"/>
    <s v="Growify_P.max_HP_EOSS_Ind"/>
    <s v="ENABLED"/>
    <n v="510.96250300000003"/>
    <n v="181"/>
    <n v="8793"/>
    <n v="2.822997"/>
    <n v="2.0584999999999999E-2"/>
    <n v="58.110145000000003"/>
    <n v="0.39"/>
    <n v="2036.9967160000001"/>
    <s v="India"/>
    <s v="India"/>
    <x v="1"/>
  </r>
  <r>
    <s v="17-05-2026"/>
    <s v="XYZ Luxury"/>
    <s v="Growify_P.max_HP_EOSS_Ind"/>
    <s v="ENABLED"/>
    <n v="883.925386"/>
    <n v="162"/>
    <n v="7656"/>
    <n v="5.4563300000000003"/>
    <n v="2.1160000000000002E-2"/>
    <n v="115.45524899999999"/>
    <n v="0"/>
    <n v="0"/>
    <s v="India"/>
    <s v="India"/>
    <x v="1"/>
  </r>
  <r>
    <s v="18-05-2026"/>
    <s v="XYZ Luxury"/>
    <s v="Growify_P.max_HP_EOSS_Ind"/>
    <s v="ENABLED"/>
    <n v="853.48433199999999"/>
    <n v="32"/>
    <n v="1156"/>
    <n v="26.671385000000001"/>
    <n v="2.7681999999999998E-2"/>
    <n v="738.30824600000005"/>
    <n v="0"/>
    <n v="0"/>
    <s v="India"/>
    <s v="India"/>
    <x v="1"/>
  </r>
  <r>
    <s v="19-05-2026"/>
    <s v="XYZ Luxury"/>
    <s v="Growify_P.max_HP_EOSS_Ind"/>
    <s v="ENABLED"/>
    <n v="367.95399500000002"/>
    <n v="115"/>
    <n v="4508"/>
    <n v="3.1996000000000002"/>
    <n v="2.5510000000000001E-2"/>
    <n v="81.622448000000006"/>
    <n v="1"/>
    <n v="67716"/>
    <s v="India"/>
    <s v="India"/>
    <x v="1"/>
  </r>
  <r>
    <s v="20-05-2026"/>
    <s v="XYZ Luxury"/>
    <s v="Growify_P.max_HP_EOSS_Ind"/>
    <s v="ENABLED"/>
    <n v="357.51097600000003"/>
    <n v="110"/>
    <n v="4322"/>
    <n v="3.2501000000000002"/>
    <n v="2.5451000000000001E-2"/>
    <n v="82.718874999999997"/>
    <n v="1"/>
    <n v="5750"/>
    <s v="India"/>
    <s v="India"/>
    <x v="1"/>
  </r>
  <r>
    <s v="21-05-2026"/>
    <s v="XYZ Luxury"/>
    <s v="Growify_P.max_HP_EOSS_Ind"/>
    <s v="ENABLED"/>
    <n v="574.19943799999999"/>
    <n v="128"/>
    <n v="4738"/>
    <n v="4.4859330000000002"/>
    <n v="2.7015999999999998E-2"/>
    <n v="121.190257"/>
    <n v="0"/>
    <n v="0"/>
    <s v="India"/>
    <s v="India"/>
    <x v="1"/>
  </r>
  <r>
    <s v="22-05-2026"/>
    <s v="XYZ Luxury"/>
    <s v="Growify_P.max_HP_EOSS_Ind"/>
    <s v="ENABLED"/>
    <n v="467.750585"/>
    <n v="172"/>
    <n v="7134"/>
    <n v="2.7194799999999999"/>
    <n v="2.4109999999999999E-2"/>
    <n v="65.566383999999999"/>
    <n v="0"/>
    <n v="0"/>
    <s v="India"/>
    <s v="India"/>
    <x v="1"/>
  </r>
  <r>
    <s v="23-05-2026"/>
    <s v="XYZ Luxury"/>
    <s v="Growify_P.max_HP_EOSS_Ind"/>
    <s v="ENABLED"/>
    <n v="591.23193800000001"/>
    <n v="86"/>
    <n v="4531"/>
    <n v="6.87479"/>
    <n v="1.898E-2"/>
    <n v="130.485972"/>
    <n v="0"/>
    <n v="0"/>
    <s v="India"/>
    <s v="India"/>
    <x v="1"/>
  </r>
  <r>
    <s v="24-05-2026"/>
    <s v="XYZ Luxury"/>
    <s v="Growify_P.max_HP_EOSS_Ind"/>
    <s v="ENABLED"/>
    <n v="644.35062900000003"/>
    <n v="90"/>
    <n v="5104"/>
    <n v="7.1594509999999998"/>
    <n v="1.7632999999999999E-2"/>
    <n v="126.24424500000001"/>
    <n v="0"/>
    <n v="0"/>
    <s v="India"/>
    <s v="India"/>
    <x v="1"/>
  </r>
  <r>
    <s v="25-05-2026"/>
    <s v="XYZ Luxury"/>
    <s v="Growify_P.max_HP_EOSS_Ind"/>
    <s v="ENABLED"/>
    <n v="294.30653799999999"/>
    <n v="102"/>
    <n v="4005"/>
    <n v="2.8853580000000001"/>
    <n v="2.5468000000000001E-2"/>
    <n v="73.484779000000003"/>
    <n v="0"/>
    <n v="0"/>
    <s v="India"/>
    <s v="India"/>
    <x v="1"/>
  </r>
  <r>
    <s v="26-05-2026"/>
    <s v="XYZ Luxury"/>
    <s v="Growify_P.max_HP_EOSS_Ind"/>
    <s v="ENABLED"/>
    <n v="464.26205299999998"/>
    <n v="145"/>
    <n v="7157"/>
    <n v="3.2018070000000001"/>
    <n v="2.026E-2"/>
    <n v="64.868247999999994"/>
    <n v="0"/>
    <n v="0"/>
    <s v="India"/>
    <s v="India"/>
    <x v="1"/>
  </r>
  <r>
    <s v="27-05-2026"/>
    <s v="XYZ Luxury"/>
    <s v="Growify_P.max_HP_EOSS_Ind"/>
    <s v="ENABLED"/>
    <n v="658.43347100000005"/>
    <n v="115"/>
    <n v="6657"/>
    <n v="5.7255079999999996"/>
    <n v="1.7274999999999999E-2"/>
    <n v="98.908438000000004"/>
    <n v="0.01"/>
    <n v="208.072326"/>
    <s v="India"/>
    <s v="India"/>
    <x v="1"/>
  </r>
  <r>
    <s v="28-05-2026"/>
    <s v="XYZ Luxury"/>
    <s v="Growify_P.max_HP_EOSS_Ind"/>
    <s v="ENABLED"/>
    <n v="371.87704400000001"/>
    <n v="101"/>
    <n v="4779"/>
    <n v="3.6819510000000002"/>
    <n v="2.1134E-2"/>
    <n v="77.814824000000002"/>
    <n v="0.98"/>
    <n v="17442.216789999999"/>
    <s v="India"/>
    <s v="India"/>
    <x v="1"/>
  </r>
  <r>
    <s v="29-05-2026"/>
    <s v="XYZ Luxury"/>
    <s v="Growify_P.max_HP_EOSS_Ind"/>
    <s v="ENABLED"/>
    <n v="946.88669700000003"/>
    <n v="142"/>
    <n v="6990"/>
    <n v="6.6682160000000001"/>
    <n v="2.0315E-2"/>
    <n v="135.46304699999999"/>
    <n v="0"/>
    <n v="0"/>
    <s v="India"/>
    <s v="India"/>
    <x v="1"/>
  </r>
  <r>
    <s v="30-05-2026"/>
    <s v="XYZ Luxury"/>
    <s v="Growify_P.max_HP_EOSS_Ind"/>
    <s v="ENABLED"/>
    <n v="1617.9376480000001"/>
    <n v="116"/>
    <n v="9973"/>
    <n v="13.947737999999999"/>
    <n v="1.1631000000000001E-2"/>
    <n v="162.23179099999999"/>
    <n v="0"/>
    <n v="0"/>
    <s v="India"/>
    <s v="India"/>
    <x v="1"/>
  </r>
  <r>
    <s v="31-05-2026"/>
    <s v="XYZ Luxury"/>
    <s v="Growify_P.max_HP_EOSS_Ind"/>
    <s v="ENABLED"/>
    <n v="970.14400999999998"/>
    <n v="113"/>
    <n v="6158"/>
    <n v="8.5853450000000002"/>
    <n v="1.8350000000000002E-2"/>
    <n v="157.54206099999999"/>
    <n v="1"/>
    <n v="61259.9"/>
    <s v="India"/>
    <s v="India"/>
    <x v="1"/>
  </r>
  <r>
    <s v="25-05-2026"/>
    <s v="XYZ Luxury"/>
    <s v="Growify_XYZ LuxuryP_Search_INT-5/21/26"/>
    <s v="ENABLED"/>
    <n v="0.96"/>
    <n v="1"/>
    <n v="2"/>
    <n v="0.96"/>
    <n v="0.5"/>
    <n v="480"/>
    <n v="0"/>
    <n v="0"/>
    <s v="USA"/>
    <s v="United States"/>
    <x v="2"/>
  </r>
  <r>
    <s v="26-05-2026"/>
    <s v="XYZ Luxury"/>
    <s v="Growify_XYZ LuxuryP_Search_INT-5/21/26"/>
    <s v="ENABLED"/>
    <n v="2.87"/>
    <n v="2"/>
    <n v="3"/>
    <n v="1.4350000000000001"/>
    <n v="0.66666700000000001"/>
    <n v="956.66666699999996"/>
    <n v="0"/>
    <n v="0"/>
    <s v="USA"/>
    <s v="United States"/>
    <x v="2"/>
  </r>
  <r>
    <s v="27-05-2026"/>
    <s v="XYZ Luxury"/>
    <s v="Growify_XYZ LuxuryP_Search_INT-5/21/26"/>
    <s v="ENABLED"/>
    <n v="184.332775"/>
    <n v="4"/>
    <n v="8"/>
    <n v="46.083193999999999"/>
    <n v="0.5"/>
    <n v="23041.596880000001"/>
    <n v="0"/>
    <n v="0"/>
    <s v="USA"/>
    <s v="United States"/>
    <x v="2"/>
  </r>
  <r>
    <s v="28-05-2026"/>
    <s v="XYZ Luxury"/>
    <s v="Growify_XYZ LuxuryP_Search_INT-5/21/26"/>
    <s v="ENABLED"/>
    <n v="935.14597800000001"/>
    <n v="8"/>
    <n v="14"/>
    <n v="116.893247"/>
    <n v="0.57142899999999996"/>
    <n v="66796.14129"/>
    <n v="0"/>
    <n v="0"/>
    <s v="USA"/>
    <s v="United States"/>
    <x v="2"/>
  </r>
  <r>
    <s v="29-05-2026"/>
    <s v="XYZ Luxury"/>
    <s v="Growify_XYZ LuxuryP_Search_INT-5/21/26"/>
    <s v="ENABLED"/>
    <n v="290.14"/>
    <n v="12"/>
    <n v="16"/>
    <n v="24.178332999999999"/>
    <n v="0.75"/>
    <n v="18133.75"/>
    <n v="0"/>
    <n v="0"/>
    <s v="USA"/>
    <s v="United States"/>
    <x v="2"/>
  </r>
  <r>
    <s v="30-05-2026"/>
    <s v="XYZ Luxury"/>
    <s v="Growify_XYZ LuxuryP_Search_INT-5/21/26"/>
    <s v="ENABLED"/>
    <n v="26.660025000000001"/>
    <n v="7"/>
    <n v="11"/>
    <n v="3.8085749999999998"/>
    <n v="0.63636400000000004"/>
    <n v="2423.6386360000001"/>
    <n v="0"/>
    <n v="0"/>
    <s v="USA"/>
    <s v="United States"/>
    <x v="2"/>
  </r>
  <r>
    <s v="31-05-2026"/>
    <s v="XYZ Luxury"/>
    <s v="Growify_XYZ LuxuryP_Search_INT-5/21/26"/>
    <s v="ENABLED"/>
    <n v="1409.873564"/>
    <n v="7"/>
    <n v="13"/>
    <n v="201.41050899999999"/>
    <n v="0.538462"/>
    <n v="108451.8126"/>
    <n v="0.53"/>
    <n v="11003.918309999999"/>
    <s v="USA"/>
    <s v="United States"/>
    <x v="2"/>
  </r>
  <r>
    <d v="2026-01-07T00:00:00"/>
    <s v="XYZ Luxury"/>
    <s v="Growify_XYZ LuxuryP_Search_INT-5/21/26"/>
    <s v="ENABLED"/>
    <n v="542.28"/>
    <n v="2"/>
    <n v="6"/>
    <n v="271.14"/>
    <n v="0.33333299999999999"/>
    <n v="90380"/>
    <n v="0"/>
    <n v="0"/>
    <s v="Rest of the World"/>
    <s v="Australia"/>
    <x v="3"/>
  </r>
  <r>
    <d v="2026-04-07T00:00:00"/>
    <s v="XYZ Luxury"/>
    <s v="Growify_XYZ LuxuryP_Search_INT-5/21/26"/>
    <s v="ENABLED"/>
    <n v="32.4"/>
    <n v="3"/>
    <n v="8"/>
    <n v="10.8"/>
    <n v="0.375"/>
    <n v="4050"/>
    <n v="0"/>
    <n v="0"/>
    <s v="Rest of the World"/>
    <s v="Australia"/>
    <x v="3"/>
  </r>
  <r>
    <d v="2026-05-07T00:00:00"/>
    <s v="XYZ Luxury"/>
    <s v="Growify_XYZ LuxuryP_Search_INT-5/21/26"/>
    <s v="ENABLED"/>
    <n v="8.64"/>
    <n v="6"/>
    <n v="16"/>
    <n v="1.44"/>
    <n v="0.375"/>
    <n v="540"/>
    <n v="0"/>
    <n v="0"/>
    <s v="Rest of the World"/>
    <s v="Australia"/>
    <x v="3"/>
  </r>
  <r>
    <d v="2026-06-07T00:00:00"/>
    <s v="XYZ Luxury"/>
    <s v="Growify_XYZ LuxuryP_Search_INT-5/21/26"/>
    <s v="ENABLED"/>
    <n v="6.65"/>
    <n v="5"/>
    <n v="14"/>
    <n v="1.33"/>
    <n v="0.35714299999999999"/>
    <n v="475"/>
    <n v="0"/>
    <n v="0"/>
    <s v="Rest of the World"/>
    <s v="Australia"/>
    <x v="3"/>
  </r>
  <r>
    <d v="2026-07-07T00:00:00"/>
    <s v="XYZ Luxury"/>
    <s v="Growify_XYZ LuxuryP_Search_INT-5/21/26"/>
    <s v="ENABLED"/>
    <n v="4.8599309999999996"/>
    <n v="4"/>
    <n v="8"/>
    <n v="1.2149829999999999"/>
    <n v="0.5"/>
    <n v="607.49137499999995"/>
    <n v="1"/>
    <n v="23280"/>
    <s v="Rest of the World"/>
    <s v="Australia"/>
    <x v="3"/>
  </r>
  <r>
    <d v="2026-08-07T00:00:00"/>
    <s v="XYZ Luxury"/>
    <s v="Growify_XYZ LuxuryP_Search_INT-5/21/26"/>
    <s v="ENABLED"/>
    <n v="1.33"/>
    <n v="1"/>
    <n v="4"/>
    <n v="1.33"/>
    <n v="0.25"/>
    <n v="332.5"/>
    <n v="0"/>
    <n v="0"/>
    <s v="Rest of the World"/>
    <s v="Australia"/>
    <x v="3"/>
  </r>
  <r>
    <d v="2026-09-07T00:00:00"/>
    <s v="XYZ Luxury"/>
    <s v="Growify_XYZ LuxuryP_Search_INT-5/21/26"/>
    <s v="ENABLED"/>
    <n v="1.33"/>
    <n v="1"/>
    <n v="2"/>
    <n v="1.33"/>
    <n v="0.5"/>
    <n v="665"/>
    <n v="0"/>
    <n v="0"/>
    <s v="Rest of the World"/>
    <s v="Australia"/>
    <x v="3"/>
  </r>
  <r>
    <d v="2026-10-07T00:00:00"/>
    <s v="XYZ Luxury"/>
    <s v="Growify_XYZ LuxuryP_Search_INT-5/21/26"/>
    <s v="ENABLED"/>
    <n v="82.797920000000005"/>
    <n v="3"/>
    <n v="11"/>
    <n v="27.599307"/>
    <n v="0.272727"/>
    <n v="7527.0836360000003"/>
    <n v="0"/>
    <n v="0"/>
    <s v="Rest of the World"/>
    <s v="Australia"/>
    <x v="3"/>
  </r>
  <r>
    <d v="2026-11-07T00:00:00"/>
    <s v="XYZ Luxury"/>
    <s v="Growify_XYZ LuxuryP_Search_INT-5/21/26"/>
    <s v="ENABLED"/>
    <n v="260.08385600000003"/>
    <n v="5"/>
    <n v="12"/>
    <n v="52.016770999999999"/>
    <n v="0.41666700000000001"/>
    <n v="21673.65467"/>
    <n v="0"/>
    <n v="0"/>
    <s v="Rest of the World"/>
    <s v="Australia"/>
    <x v="3"/>
  </r>
  <r>
    <d v="2026-12-07T00:00:00"/>
    <s v="XYZ Luxury"/>
    <s v="Growify_XYZ LuxuryP_Search_INT-5/21/26"/>
    <s v="ENABLED"/>
    <n v="5.32"/>
    <n v="4"/>
    <n v="9"/>
    <n v="1.33"/>
    <n v="0.44444400000000001"/>
    <n v="591.11111100000005"/>
    <n v="0"/>
    <n v="0"/>
    <s v="Rest of the World"/>
    <s v="Australia"/>
    <x v="3"/>
  </r>
  <r>
    <s v="15-07-2026"/>
    <s v="XYZ Luxury"/>
    <s v="Growify_XYZ LuxuryP_Search_INT-5/21/26"/>
    <s v="ENABLED"/>
    <n v="4.05"/>
    <n v="3"/>
    <n v="4"/>
    <n v="1.35"/>
    <n v="0.75"/>
    <n v="1012.5"/>
    <n v="0"/>
    <n v="0"/>
    <s v="Rest of the World"/>
    <s v="Australia"/>
    <x v="3"/>
  </r>
  <r>
    <s v="16-07-2026"/>
    <s v="XYZ Luxury"/>
    <s v="Growify_XYZ LuxuryP_Search_INT-5/21/26"/>
    <s v="ENABLED"/>
    <n v="9.4499999999999993"/>
    <n v="2"/>
    <n v="7"/>
    <n v="4.7249999999999996"/>
    <n v="0.28571400000000002"/>
    <n v="1350"/>
    <n v="0"/>
    <n v="0"/>
    <s v="Rest of the World"/>
    <s v="Australia"/>
    <x v="3"/>
  </r>
  <r>
    <s v="17-07-2026"/>
    <s v="XYZ Luxury"/>
    <s v="Growify_XYZ LuxuryP_Search_INT-5/21/26"/>
    <s v="ENABLED"/>
    <n v="11.081073999999999"/>
    <n v="4"/>
    <n v="10"/>
    <n v="2.7702689999999999"/>
    <n v="0.4"/>
    <n v="1108.1074000000001"/>
    <n v="0"/>
    <n v="0"/>
    <s v="Rest of the World"/>
    <s v="Australia"/>
    <x v="3"/>
  </r>
  <r>
    <s v="18-07-2026"/>
    <s v="XYZ Luxury"/>
    <s v="Growify_XYZ LuxuryP_Search_INT-5/21/26"/>
    <s v="ENABLED"/>
    <n v="26.054867999999999"/>
    <n v="4"/>
    <n v="11"/>
    <n v="6.5137169999999998"/>
    <n v="0.36363600000000001"/>
    <n v="2368.6243639999998"/>
    <n v="0"/>
    <n v="0"/>
    <s v="Rest of the World"/>
    <s v="Australia"/>
    <x v="3"/>
  </r>
  <r>
    <s v="19-07-2026"/>
    <s v="XYZ Luxury"/>
    <s v="Growify_XYZ LuxuryP_Search_INT-5/21/26"/>
    <s v="ENABLED"/>
    <n v="10.203016"/>
    <n v="2"/>
    <n v="6"/>
    <n v="5.1015079999999999"/>
    <n v="0.33333299999999999"/>
    <n v="1700.502667"/>
    <n v="0"/>
    <n v="0"/>
    <s v="Rest of the World"/>
    <s v="Australia"/>
    <x v="3"/>
  </r>
  <r>
    <s v="20-07-2026"/>
    <s v="XYZ Luxury"/>
    <s v="Growify_XYZ LuxuryP_Search_INT-5/21/26"/>
    <s v="ENABLED"/>
    <n v="2.9581840000000001"/>
    <n v="3"/>
    <n v="6"/>
    <n v="0.98606099999999997"/>
    <n v="0.5"/>
    <n v="493.03066699999999"/>
    <n v="0"/>
    <n v="0"/>
    <s v="Rest of the World"/>
    <s v="Australia"/>
    <x v="3"/>
  </r>
  <r>
    <s v="22-07-2026"/>
    <s v="XYZ Luxury"/>
    <s v="Growify_XYZ LuxuryP_Search_INT-5/21/26"/>
    <s v="ENABLED"/>
    <n v="4.1387510000000001"/>
    <n v="4"/>
    <n v="6"/>
    <n v="1.0346880000000001"/>
    <n v="0.66666700000000001"/>
    <n v="689.791833"/>
    <n v="0"/>
    <n v="0"/>
    <s v="Rest of the World"/>
    <s v="Australia"/>
    <x v="3"/>
  </r>
  <r>
    <s v="23-07-2026"/>
    <s v="XYZ Luxury"/>
    <s v="Growify_XYZ LuxuryP_Search_INT-5/21/26"/>
    <s v="ENABLED"/>
    <n v="20.107990000000001"/>
    <n v="4"/>
    <n v="9"/>
    <n v="5.0269979999999999"/>
    <n v="0.44444400000000001"/>
    <n v="2234.2211109999998"/>
    <n v="0"/>
    <n v="0"/>
    <s v="Rest of the World"/>
    <s v="Australia"/>
    <x v="3"/>
  </r>
  <r>
    <s v="24-07-2026"/>
    <s v="XYZ Luxury"/>
    <s v="Growify_XYZ LuxuryP_Search_INT-5/21/26"/>
    <s v="ENABLED"/>
    <n v="1.35"/>
    <n v="1"/>
    <n v="3"/>
    <n v="1.35"/>
    <n v="0.33333299999999999"/>
    <n v="450"/>
    <n v="0"/>
    <n v="0"/>
    <s v="Rest of the World"/>
    <s v="Australia"/>
    <x v="3"/>
  </r>
  <r>
    <s v="25-07-2026"/>
    <s v="XYZ Luxury"/>
    <s v="Growify_XYZ LuxuryP_Search_INT-5/21/26"/>
    <s v="ENABLED"/>
    <n v="1.35"/>
    <n v="1"/>
    <n v="1"/>
    <n v="1.35"/>
    <n v="1"/>
    <n v="1350"/>
    <n v="0"/>
    <n v="0"/>
    <s v="Rest of the World"/>
    <s v="Australia"/>
    <x v="3"/>
  </r>
  <r>
    <s v="26-07-2026"/>
    <s v="XYZ Luxury"/>
    <s v="Growify_XYZ LuxuryP_Search_INT-5/21/26"/>
    <s v="ENABLED"/>
    <n v="13.862105"/>
    <n v="5"/>
    <n v="11"/>
    <n v="2.772421"/>
    <n v="0.45454499999999998"/>
    <n v="1260.191364"/>
    <n v="0"/>
    <n v="0"/>
    <s v="Rest of the World"/>
    <s v="Australia"/>
    <x v="3"/>
  </r>
  <r>
    <s v="27-07-2026"/>
    <s v="XYZ Luxury"/>
    <s v="Growify_XYZ LuxuryP_Search_INT-5/21/26"/>
    <s v="ENABLED"/>
    <n v="18.88"/>
    <n v="3"/>
    <n v="8"/>
    <n v="6.2933329999999996"/>
    <n v="0.375"/>
    <n v="2360"/>
    <n v="0"/>
    <n v="0"/>
    <s v="Rest of the World"/>
    <s v="Australia"/>
    <x v="3"/>
  </r>
  <r>
    <s v="28-07-2026"/>
    <s v="XYZ Luxury"/>
    <s v="Growify_XYZ LuxuryP_Search_INT-5/21/26"/>
    <s v="ENABLED"/>
    <n v="412.81"/>
    <n v="4"/>
    <n v="7"/>
    <n v="103.2025"/>
    <n v="0.57142899999999996"/>
    <n v="58972.85714"/>
    <n v="0"/>
    <n v="0"/>
    <s v="Rest of the World"/>
    <s v="Australia"/>
    <x v="3"/>
  </r>
  <r>
    <s v="29-07-2026"/>
    <s v="XYZ Luxury"/>
    <s v="Growify_XYZ LuxuryP_Search_INT-5/21/26"/>
    <s v="ENABLED"/>
    <n v="71.06"/>
    <n v="6"/>
    <n v="12"/>
    <n v="11.843332999999999"/>
    <n v="0.5"/>
    <n v="5921.6666670000004"/>
    <n v="0"/>
    <n v="0"/>
    <s v="Rest of the World"/>
    <s v="Australia"/>
    <x v="3"/>
  </r>
  <r>
    <s v="30-07-2026"/>
    <s v="XYZ Luxury"/>
    <s v="Growify_XYZ LuxuryP_Search_INT-5/21/26"/>
    <s v="ENABLED"/>
    <n v="18.02"/>
    <n v="4"/>
    <n v="9"/>
    <n v="4.5049999999999999"/>
    <n v="0.44444400000000001"/>
    <n v="2002.2222220000001"/>
    <n v="0"/>
    <n v="0"/>
    <s v="Rest of the World"/>
    <s v="Australia"/>
    <x v="3"/>
  </r>
  <r>
    <d v="2026-04-07T00:00:00"/>
    <s v="XYZ Luxury"/>
    <s v="Growify_Performance Max_Listing_INTL"/>
    <s v="ENABLED"/>
    <n v="196.58"/>
    <n v="10"/>
    <n v="892"/>
    <n v="19.658000000000001"/>
    <n v="1.1211E-2"/>
    <n v="220.38116600000001"/>
    <n v="0"/>
    <n v="0"/>
    <s v="Rest of the World"/>
    <s v="Australia"/>
    <x v="3"/>
  </r>
  <r>
    <d v="2026-05-07T00:00:00"/>
    <s v="XYZ Luxury"/>
    <s v="Growify_Performance Max_Listing_INTL"/>
    <s v="ENABLED"/>
    <n v="118.73"/>
    <n v="5"/>
    <n v="114"/>
    <n v="23.745999999999999"/>
    <n v="4.3860000000000003E-2"/>
    <n v="1041.4912280000001"/>
    <n v="0"/>
    <n v="0"/>
    <s v="Rest of the World"/>
    <s v="Australia"/>
    <x v="3"/>
  </r>
  <r>
    <d v="2026-06-07T00:00:00"/>
    <s v="XYZ Luxury"/>
    <s v="Growify_Performance Max_Listing_INTL"/>
    <s v="ENABLED"/>
    <n v="37.76"/>
    <n v="1"/>
    <n v="234"/>
    <n v="37.76"/>
    <n v="4.274E-3"/>
    <n v="161.36752100000001"/>
    <n v="2"/>
    <n v="62546.400000000001"/>
    <s v="Rest of the World"/>
    <s v="Australia"/>
    <x v="3"/>
  </r>
  <r>
    <d v="2026-09-07T00:00:00"/>
    <s v="XYZ Luxury"/>
    <s v="Growify_Performance Max_Listing_INTL"/>
    <s v="ENABLED"/>
    <n v="20.46"/>
    <n v="2"/>
    <n v="51"/>
    <n v="10.23"/>
    <n v="3.9216000000000001E-2"/>
    <n v="401.17647099999999"/>
    <n v="0"/>
    <n v="0"/>
    <s v="Rest of the World"/>
    <s v="Australia"/>
    <x v="3"/>
  </r>
  <r>
    <d v="2026-11-07T00:00:00"/>
    <s v="XYZ Luxury"/>
    <s v="Growify_Performance Max_Listing_INTL"/>
    <s v="ENABLED"/>
    <n v="63.7"/>
    <n v="7"/>
    <n v="141"/>
    <n v="9.1"/>
    <n v="4.9645000000000002E-2"/>
    <n v="451.77305000000001"/>
    <n v="0"/>
    <n v="0"/>
    <s v="Rest of the World"/>
    <s v="Australia"/>
    <x v="3"/>
  </r>
  <r>
    <d v="2026-12-07T00:00:00"/>
    <s v="XYZ Luxury"/>
    <s v="Growify_Performance Max_Listing_INTL"/>
    <s v="ENABLED"/>
    <n v="0.01"/>
    <n v="1"/>
    <n v="49"/>
    <n v="0.01"/>
    <n v="2.0407999999999999E-2"/>
    <n v="0.20408200000000001"/>
    <n v="0"/>
    <n v="0"/>
    <s v="Rest of the World"/>
    <s v="Australia"/>
    <x v="3"/>
  </r>
  <r>
    <s v="13-07-2026"/>
    <s v="XYZ Luxury"/>
    <s v="Growify_Performance Max_Listing_INTL"/>
    <s v="ENABLED"/>
    <n v="7.8"/>
    <n v="1"/>
    <n v="26"/>
    <n v="7.8"/>
    <n v="3.8462000000000003E-2"/>
    <n v="300"/>
    <n v="0"/>
    <n v="0"/>
    <s v="Rest of the World"/>
    <s v="Australia"/>
    <x v="3"/>
  </r>
  <r>
    <s v="15-07-2026"/>
    <s v="XYZ Luxury"/>
    <s v="Growify_Performance Max_Listing_INTL"/>
    <s v="ENABLED"/>
    <n v="8.9"/>
    <n v="2"/>
    <n v="123"/>
    <n v="4.45"/>
    <n v="1.626E-2"/>
    <n v="72.357724000000005"/>
    <n v="0"/>
    <n v="0"/>
    <s v="Rest of the World"/>
    <s v="Australia"/>
    <x v="3"/>
  </r>
  <r>
    <s v="16-07-2026"/>
    <s v="XYZ Luxury"/>
    <s v="Growify_Performance Max_Listing_INTL"/>
    <s v="ENABLED"/>
    <n v="25.79"/>
    <n v="3"/>
    <n v="203"/>
    <n v="8.5966670000000001"/>
    <n v="1.4777999999999999E-2"/>
    <n v="127.044335"/>
    <n v="0"/>
    <n v="0"/>
    <s v="Rest of the World"/>
    <s v="Australia"/>
    <x v="3"/>
  </r>
  <r>
    <s v="17-07-2026"/>
    <s v="XYZ Luxury"/>
    <s v="Growify_Performance Max_Listing_INTL"/>
    <s v="ENABLED"/>
    <n v="120.33"/>
    <n v="5"/>
    <n v="435"/>
    <n v="24.065999999999999"/>
    <n v="1.1494000000000001E-2"/>
    <n v="276.62069000000002"/>
    <n v="0"/>
    <n v="0"/>
    <s v="Rest of the World"/>
    <s v="Australia"/>
    <x v="3"/>
  </r>
  <r>
    <s v="18-07-2026"/>
    <s v="XYZ Luxury"/>
    <s v="Growify_Performance Max_Listing_INTL"/>
    <s v="ENABLED"/>
    <n v="325.08999999999997"/>
    <n v="16"/>
    <n v="571"/>
    <n v="20.318124999999998"/>
    <n v="2.8021000000000001E-2"/>
    <n v="569.33450100000005"/>
    <n v="0"/>
    <n v="0"/>
    <s v="Rest of the World"/>
    <s v="Australia"/>
    <x v="3"/>
  </r>
  <r>
    <s v="19-07-2026"/>
    <s v="XYZ Luxury"/>
    <s v="Growify_Performance Max_Listing_INTL"/>
    <s v="ENABLED"/>
    <n v="3.37"/>
    <n v="1"/>
    <n v="186"/>
    <n v="3.37"/>
    <n v="5.3759999999999997E-3"/>
    <n v="18.118279999999999"/>
    <n v="0"/>
    <n v="0"/>
    <s v="Rest of the World"/>
    <s v="Australia"/>
    <x v="3"/>
  </r>
  <r>
    <s v="20-07-2026"/>
    <s v="XYZ Luxury"/>
    <s v="Growify_Performance Max_Listing_INTL"/>
    <s v="ENABLED"/>
    <n v="149.66999999999999"/>
    <n v="7"/>
    <n v="304"/>
    <n v="21.381429000000001"/>
    <n v="2.3026000000000001E-2"/>
    <n v="492.33552600000002"/>
    <n v="0"/>
    <n v="0"/>
    <s v="Rest of the World"/>
    <s v="Australia"/>
    <x v="3"/>
  </r>
  <r>
    <s v="22-07-2026"/>
    <s v="XYZ Luxury"/>
    <s v="Growify_Performance Max_Listing_INTL"/>
    <s v="ENABLED"/>
    <n v="81.42"/>
    <n v="3"/>
    <n v="179"/>
    <n v="27.14"/>
    <n v="1.6760000000000001E-2"/>
    <n v="454.86033500000002"/>
    <n v="0"/>
    <n v="0"/>
    <s v="Rest of the World"/>
    <s v="Australia"/>
    <x v="3"/>
  </r>
  <r>
    <s v="23-07-2026"/>
    <s v="XYZ Luxury"/>
    <s v="Growify_Performance Max_Listing_INTL"/>
    <s v="ENABLED"/>
    <n v="33.42"/>
    <n v="6"/>
    <n v="298"/>
    <n v="5.57"/>
    <n v="2.0133999999999999E-2"/>
    <n v="112.147651"/>
    <n v="0"/>
    <n v="0"/>
    <s v="Rest of the World"/>
    <s v="Australia"/>
    <x v="3"/>
  </r>
  <r>
    <s v="24-07-2026"/>
    <s v="XYZ Luxury"/>
    <s v="Growify_Performance Max_Listing_INTL"/>
    <s v="ENABLED"/>
    <n v="148.27000000000001"/>
    <n v="6"/>
    <n v="362"/>
    <n v="24.711666999999998"/>
    <n v="1.6574999999999999E-2"/>
    <n v="409.58563500000002"/>
    <n v="0"/>
    <n v="0"/>
    <s v="Rest of the World"/>
    <s v="Australia"/>
    <x v="3"/>
  </r>
  <r>
    <s v="26-07-2026"/>
    <s v="XYZ Luxury"/>
    <s v="Growify_Performance Max_Listing_INTL"/>
    <s v="ENABLED"/>
    <n v="50.16"/>
    <n v="3"/>
    <n v="110"/>
    <n v="16.72"/>
    <n v="2.7272999999999999E-2"/>
    <n v="456"/>
    <n v="0"/>
    <n v="0"/>
    <s v="Rest of the World"/>
    <s v="Australia"/>
    <x v="3"/>
  </r>
  <r>
    <s v="27-07-2026"/>
    <s v="XYZ Luxury"/>
    <s v="Growify_Performance Max_Listing_INTL"/>
    <s v="ENABLED"/>
    <n v="134.69999999999999"/>
    <n v="7"/>
    <n v="190"/>
    <n v="19.242857000000001"/>
    <n v="3.6842E-2"/>
    <n v="708.94736799999998"/>
    <n v="0"/>
    <n v="0"/>
    <s v="Rest of the World"/>
    <s v="Australia"/>
    <x v="3"/>
  </r>
  <r>
    <s v="28-07-2026"/>
    <s v="XYZ Luxury"/>
    <s v="Growify_Performance Max_Listing_INTL"/>
    <s v="ENABLED"/>
    <n v="5.34"/>
    <n v="1"/>
    <n v="181"/>
    <n v="5.34"/>
    <n v="5.5250000000000004E-3"/>
    <n v="29.502762000000001"/>
    <n v="0"/>
    <n v="0"/>
    <s v="Rest of the World"/>
    <s v="Australia"/>
    <x v="3"/>
  </r>
  <r>
    <d v="2026-01-07T00:00:00"/>
    <s v="XYZ Luxury"/>
    <s v="Growify_XYZ LuxuryP_Search_INT-5/21/26"/>
    <s v="ENABLED"/>
    <n v="42.4"/>
    <n v="9"/>
    <n v="31"/>
    <n v="4.7111109999999998"/>
    <n v="0.290323"/>
    <n v="1367.741935"/>
    <n v="0"/>
    <n v="0"/>
    <s v="Rest of the World"/>
    <s v="Canada"/>
    <x v="0"/>
  </r>
  <r>
    <d v="2026-04-07T00:00:00"/>
    <s v="XYZ Luxury"/>
    <s v="Growify_XYZ LuxuryP_Search_INT-5/21/26"/>
    <s v="ENABLED"/>
    <n v="217.35"/>
    <n v="9"/>
    <n v="31"/>
    <n v="24.15"/>
    <n v="0.290323"/>
    <n v="7011.2903230000002"/>
    <n v="0"/>
    <n v="0"/>
    <s v="Rest of the World"/>
    <s v="Canada"/>
    <x v="0"/>
  </r>
  <r>
    <d v="2026-05-07T00:00:00"/>
    <s v="XYZ Luxury"/>
    <s v="Growify_XYZ LuxuryP_Search_INT-5/21/26"/>
    <s v="ENABLED"/>
    <n v="231.44"/>
    <n v="10"/>
    <n v="31"/>
    <n v="23.143999999999998"/>
    <n v="0.32258100000000001"/>
    <n v="7465.8064519999998"/>
    <n v="1"/>
    <n v="21450"/>
    <s v="Rest of the World"/>
    <s v="Canada"/>
    <x v="0"/>
  </r>
  <r>
    <d v="2026-06-07T00:00:00"/>
    <s v="XYZ Luxury"/>
    <s v="Growify_XYZ LuxuryP_Search_INT-5/21/26"/>
    <s v="ENABLED"/>
    <n v="204.54"/>
    <n v="10"/>
    <n v="29"/>
    <n v="20.454000000000001"/>
    <n v="0.34482800000000002"/>
    <n v="7053.1034479999998"/>
    <n v="0"/>
    <n v="0"/>
    <s v="Rest of the World"/>
    <s v="Canada"/>
    <x v="0"/>
  </r>
  <r>
    <d v="2026-07-07T00:00:00"/>
    <s v="XYZ Luxury"/>
    <s v="Growify_XYZ LuxuryP_Search_INT-5/21/26"/>
    <s v="ENABLED"/>
    <n v="225.01"/>
    <n v="9"/>
    <n v="23"/>
    <n v="25.001111000000002"/>
    <n v="0.39130399999999999"/>
    <n v="9783.0434779999996"/>
    <n v="0"/>
    <n v="0"/>
    <s v="Rest of the World"/>
    <s v="Canada"/>
    <x v="0"/>
  </r>
  <r>
    <d v="2026-08-07T00:00:00"/>
    <s v="XYZ Luxury"/>
    <s v="Growify_XYZ LuxuryP_Search_INT-5/21/26"/>
    <s v="ENABLED"/>
    <n v="42.2"/>
    <n v="7"/>
    <n v="16"/>
    <n v="6.0285710000000003"/>
    <n v="0.4375"/>
    <n v="2637.5"/>
    <n v="0"/>
    <n v="0"/>
    <s v="Rest of the World"/>
    <s v="Canada"/>
    <x v="0"/>
  </r>
  <r>
    <d v="2026-09-07T00:00:00"/>
    <s v="XYZ Luxury"/>
    <s v="Growify_XYZ LuxuryP_Search_INT-5/21/26"/>
    <s v="ENABLED"/>
    <n v="2.797793"/>
    <n v="3"/>
    <n v="9"/>
    <n v="0.93259800000000004"/>
    <n v="0.33333299999999999"/>
    <n v="310.86588899999998"/>
    <n v="0"/>
    <n v="0"/>
    <s v="Rest of the World"/>
    <s v="Canada"/>
    <x v="0"/>
  </r>
  <r>
    <d v="2026-10-07T00:00:00"/>
    <s v="XYZ Luxury"/>
    <s v="Growify_XYZ LuxuryP_Search_INT-5/21/26"/>
    <s v="ENABLED"/>
    <n v="877.41614400000003"/>
    <n v="13"/>
    <n v="38"/>
    <n v="67.493549999999999"/>
    <n v="0.34210499999999999"/>
    <n v="23089.898529999999"/>
    <n v="0"/>
    <n v="0"/>
    <s v="Rest of the World"/>
    <s v="Canada"/>
    <x v="0"/>
  </r>
  <r>
    <d v="2026-11-07T00:00:00"/>
    <s v="XYZ Luxury"/>
    <s v="Growify_XYZ LuxuryP_Search_INT-5/21/26"/>
    <s v="ENABLED"/>
    <n v="373.13"/>
    <n v="11"/>
    <n v="27"/>
    <n v="33.920909000000002"/>
    <n v="0.40740700000000002"/>
    <n v="13819.629629999999"/>
    <n v="0"/>
    <n v="0"/>
    <s v="Rest of the World"/>
    <s v="Canada"/>
    <x v="0"/>
  </r>
  <r>
    <d v="2026-12-07T00:00:00"/>
    <s v="XYZ Luxury"/>
    <s v="Growify_XYZ LuxuryP_Search_INT-5/21/26"/>
    <s v="ENABLED"/>
    <n v="134.74"/>
    <n v="13"/>
    <n v="28"/>
    <n v="10.364615000000001"/>
    <n v="0.46428599999999998"/>
    <n v="4812.1428569999998"/>
    <n v="0"/>
    <n v="0"/>
    <s v="Rest of the World"/>
    <s v="Canada"/>
    <x v="0"/>
  </r>
  <r>
    <s v="13-07-2026"/>
    <s v="XYZ Luxury"/>
    <s v="Growify_XYZ LuxuryP_Search_INT-5/21/26"/>
    <s v="ENABLED"/>
    <n v="11.54"/>
    <n v="9"/>
    <n v="23"/>
    <n v="1.282222"/>
    <n v="0.39130399999999999"/>
    <n v="501.73912999999999"/>
    <n v="0"/>
    <n v="0"/>
    <s v="Rest of the World"/>
    <s v="Canada"/>
    <x v="0"/>
  </r>
  <r>
    <s v="14-07-2026"/>
    <s v="XYZ Luxury"/>
    <s v="Growify_XYZ LuxuryP_Search_INT-5/21/26"/>
    <s v="ENABLED"/>
    <n v="41.235391999999997"/>
    <n v="9"/>
    <n v="24"/>
    <n v="4.5817100000000002"/>
    <n v="0.375"/>
    <n v="1718.141333"/>
    <n v="0"/>
    <n v="0"/>
    <s v="Rest of the World"/>
    <s v="Canada"/>
    <x v="0"/>
  </r>
  <r>
    <s v="15-07-2026"/>
    <s v="XYZ Luxury"/>
    <s v="Growify_XYZ LuxuryP_Search_INT-5/21/26"/>
    <s v="ENABLED"/>
    <n v="121.794062"/>
    <n v="8"/>
    <n v="32"/>
    <n v="15.224258000000001"/>
    <n v="0.25"/>
    <n v="3806.064437"/>
    <n v="0"/>
    <n v="0"/>
    <s v="Rest of the World"/>
    <s v="Canada"/>
    <x v="0"/>
  </r>
  <r>
    <s v="16-07-2026"/>
    <s v="XYZ Luxury"/>
    <s v="Growify_XYZ LuxuryP_Search_INT-5/21/26"/>
    <s v="ENABLED"/>
    <n v="103.68"/>
    <n v="8"/>
    <n v="18"/>
    <n v="12.96"/>
    <n v="0.44444400000000001"/>
    <n v="5760"/>
    <n v="0"/>
    <n v="0"/>
    <s v="Rest of the World"/>
    <s v="Canada"/>
    <x v="0"/>
  </r>
  <r>
    <s v="17-07-2026"/>
    <s v="XYZ Luxury"/>
    <s v="Growify_XYZ LuxuryP_Search_INT-5/21/26"/>
    <s v="ENABLED"/>
    <n v="87.268450000000001"/>
    <n v="15"/>
    <n v="44"/>
    <n v="5.8178970000000003"/>
    <n v="0.34090900000000002"/>
    <n v="1983.3738639999999"/>
    <n v="0"/>
    <n v="0"/>
    <s v="Rest of the World"/>
    <s v="Canada"/>
    <x v="0"/>
  </r>
  <r>
    <s v="18-07-2026"/>
    <s v="XYZ Luxury"/>
    <s v="Growify_XYZ LuxuryP_Search_INT-5/21/26"/>
    <s v="ENABLED"/>
    <n v="144.29"/>
    <n v="13"/>
    <n v="33"/>
    <n v="11.099231"/>
    <n v="0.39393899999999998"/>
    <n v="4372.424242"/>
    <n v="0"/>
    <n v="0"/>
    <s v="Rest of the World"/>
    <s v="Canada"/>
    <x v="0"/>
  </r>
  <r>
    <s v="19-07-2026"/>
    <s v="XYZ Luxury"/>
    <s v="Growify_XYZ LuxuryP_Search_INT-5/21/26"/>
    <s v="ENABLED"/>
    <n v="146.89109199999999"/>
    <n v="17"/>
    <n v="40"/>
    <n v="8.6406519999999993"/>
    <n v="0.42499999999999999"/>
    <n v="3672.2773000000002"/>
    <n v="1"/>
    <n v="4165.92"/>
    <s v="Rest of the World"/>
    <s v="Canada"/>
    <x v="0"/>
  </r>
  <r>
    <s v="20-07-2026"/>
    <s v="XYZ Luxury"/>
    <s v="Growify_XYZ LuxuryP_Search_INT-5/21/26"/>
    <s v="ENABLED"/>
    <n v="648.01"/>
    <n v="12"/>
    <n v="35"/>
    <n v="54.000833"/>
    <n v="0.34285700000000002"/>
    <n v="18514.57143"/>
    <n v="0"/>
    <n v="0"/>
    <s v="Rest of the World"/>
    <s v="Canada"/>
    <x v="0"/>
  </r>
  <r>
    <s v="21-07-2026"/>
    <s v="XYZ Luxury"/>
    <s v="Growify_XYZ LuxuryP_Search_INT-5/21/26"/>
    <s v="ENABLED"/>
    <n v="270.58814999999998"/>
    <n v="10"/>
    <n v="19"/>
    <n v="27.058814999999999"/>
    <n v="0.52631600000000001"/>
    <n v="14241.48158"/>
    <n v="0"/>
    <n v="0"/>
    <s v="Rest of the World"/>
    <s v="Canada"/>
    <x v="0"/>
  </r>
  <r>
    <s v="22-07-2026"/>
    <s v="XYZ Luxury"/>
    <s v="Growify_XYZ LuxuryP_Search_INT-5/21/26"/>
    <s v="ENABLED"/>
    <n v="221.5"/>
    <n v="11"/>
    <n v="26"/>
    <n v="20.136364"/>
    <n v="0.42307699999999998"/>
    <n v="8519.2307689999998"/>
    <n v="0"/>
    <n v="0"/>
    <s v="Rest of the World"/>
    <s v="Canada"/>
    <x v="0"/>
  </r>
  <r>
    <s v="23-07-2026"/>
    <s v="XYZ Luxury"/>
    <s v="Growify_XYZ LuxuryP_Search_INT-5/21/26"/>
    <s v="ENABLED"/>
    <n v="6.6473120000000003"/>
    <n v="5"/>
    <n v="9"/>
    <n v="1.3294619999999999"/>
    <n v="0.55555600000000005"/>
    <n v="738.59022200000004"/>
    <n v="0"/>
    <n v="0"/>
    <s v="Rest of the World"/>
    <s v="Canada"/>
    <x v="0"/>
  </r>
  <r>
    <s v="24-07-2026"/>
    <s v="XYZ Luxury"/>
    <s v="Growify_XYZ LuxuryP_Search_INT-5/21/26"/>
    <s v="ENABLED"/>
    <n v="37.82"/>
    <n v="13"/>
    <n v="21"/>
    <n v="2.9092310000000001"/>
    <n v="0.61904800000000004"/>
    <n v="1800.9523810000001"/>
    <n v="0"/>
    <n v="0"/>
    <s v="Rest of the World"/>
    <s v="Canada"/>
    <x v="0"/>
  </r>
  <r>
    <s v="25-07-2026"/>
    <s v="XYZ Luxury"/>
    <s v="Growify_XYZ LuxuryP_Search_INT-5/21/26"/>
    <s v="ENABLED"/>
    <n v="39.042337000000003"/>
    <n v="14"/>
    <n v="28"/>
    <n v="2.7887379999999999"/>
    <n v="0.5"/>
    <n v="1394.369179"/>
    <n v="0"/>
    <n v="0"/>
    <s v="Rest of the World"/>
    <s v="Canada"/>
    <x v="0"/>
  </r>
  <r>
    <s v="26-07-2026"/>
    <s v="XYZ Luxury"/>
    <s v="Growify_XYZ LuxuryP_Search_INT-5/21/26"/>
    <s v="ENABLED"/>
    <n v="89.13"/>
    <n v="8"/>
    <n v="24"/>
    <n v="11.141249999999999"/>
    <n v="0.33333299999999999"/>
    <n v="3713.75"/>
    <n v="0"/>
    <n v="0"/>
    <s v="Rest of the World"/>
    <s v="Canada"/>
    <x v="0"/>
  </r>
  <r>
    <s v="27-07-2026"/>
    <s v="XYZ Luxury"/>
    <s v="Growify_XYZ LuxuryP_Search_INT-5/21/26"/>
    <s v="ENABLED"/>
    <n v="296.35708299999999"/>
    <n v="3"/>
    <n v="13"/>
    <n v="98.785694000000007"/>
    <n v="0.230769"/>
    <n v="22796.698690000001"/>
    <n v="0"/>
    <n v="0"/>
    <s v="Rest of the World"/>
    <s v="Canada"/>
    <x v="0"/>
  </r>
  <r>
    <s v="28-07-2026"/>
    <s v="XYZ Luxury"/>
    <s v="Growify_XYZ LuxuryP_Search_INT-5/21/26"/>
    <s v="ENABLED"/>
    <n v="52.3"/>
    <n v="5"/>
    <n v="14"/>
    <n v="10.46"/>
    <n v="0.35714299999999999"/>
    <n v="3735.7142859999999"/>
    <n v="0"/>
    <n v="0"/>
    <s v="Rest of the World"/>
    <s v="Canada"/>
    <x v="0"/>
  </r>
  <r>
    <s v="29-07-2026"/>
    <s v="XYZ Luxury"/>
    <s v="Growify_XYZ LuxuryP_Search_INT-5/21/26"/>
    <s v="ENABLED"/>
    <n v="208.88"/>
    <n v="16"/>
    <n v="41"/>
    <n v="13.055"/>
    <n v="0.39024399999999998"/>
    <n v="5094.6341460000003"/>
    <n v="0.51"/>
    <n v="4913.8026300000001"/>
    <s v="Rest of the World"/>
    <s v="Canada"/>
    <x v="0"/>
  </r>
  <r>
    <s v="30-07-2026"/>
    <s v="XYZ Luxury"/>
    <s v="Growify_XYZ LuxuryP_Search_INT-5/21/26"/>
    <s v="ENABLED"/>
    <n v="211.78"/>
    <n v="9"/>
    <n v="18"/>
    <n v="23.531110999999999"/>
    <n v="0.5"/>
    <n v="11765.555560000001"/>
    <n v="0"/>
    <n v="0"/>
    <s v="Rest of the World"/>
    <s v="Canada"/>
    <x v="0"/>
  </r>
  <r>
    <d v="2026-01-07T00:00:00"/>
    <s v="XYZ Luxury"/>
    <s v="Growify_Performance Max_Listing_INTL"/>
    <s v="ENABLED"/>
    <n v="168.19560200000001"/>
    <n v="3"/>
    <n v="388"/>
    <n v="56.065201000000002"/>
    <n v="7.7320000000000002E-3"/>
    <n v="433.49382000000003"/>
    <n v="0"/>
    <n v="0"/>
    <s v="Rest of the World"/>
    <s v="Canada"/>
    <x v="0"/>
  </r>
  <r>
    <d v="2026-04-07T00:00:00"/>
    <s v="XYZ Luxury"/>
    <s v="Growify_Performance Max_Listing_INTL"/>
    <s v="ENABLED"/>
    <n v="407.69"/>
    <n v="10"/>
    <n v="734"/>
    <n v="40.768999999999998"/>
    <n v="1.3624000000000001E-2"/>
    <n v="555.43596700000001"/>
    <n v="0"/>
    <n v="0"/>
    <s v="Rest of the World"/>
    <s v="Canada"/>
    <x v="0"/>
  </r>
  <r>
    <d v="2026-05-07T00:00:00"/>
    <s v="XYZ Luxury"/>
    <s v="Growify_Performance Max_Listing_INTL"/>
    <s v="ENABLED"/>
    <n v="215.25"/>
    <n v="7"/>
    <n v="420"/>
    <n v="30.75"/>
    <n v="1.6667000000000001E-2"/>
    <n v="512.5"/>
    <n v="0"/>
    <n v="0"/>
    <s v="Rest of the World"/>
    <s v="Canada"/>
    <x v="0"/>
  </r>
  <r>
    <d v="2026-06-07T00:00:00"/>
    <s v="XYZ Luxury"/>
    <s v="Growify_Performance Max_Listing_INTL"/>
    <s v="ENABLED"/>
    <n v="54.37"/>
    <n v="4"/>
    <n v="736"/>
    <n v="13.592499999999999"/>
    <n v="5.4349999999999997E-3"/>
    <n v="73.872282999999996"/>
    <n v="0"/>
    <n v="0"/>
    <s v="Rest of the World"/>
    <s v="Canada"/>
    <x v="0"/>
  </r>
  <r>
    <d v="2026-07-07T00:00:00"/>
    <s v="XYZ Luxury"/>
    <s v="Growify_Performance Max_Listing_INTL"/>
    <s v="ENABLED"/>
    <n v="166.07"/>
    <n v="6"/>
    <n v="279"/>
    <n v="27.678332999999999"/>
    <n v="2.1505E-2"/>
    <n v="595.23297500000001"/>
    <n v="0"/>
    <n v="0"/>
    <s v="Rest of the World"/>
    <s v="Canada"/>
    <x v="0"/>
  </r>
  <r>
    <d v="2026-08-07T00:00:00"/>
    <s v="XYZ Luxury"/>
    <s v="Growify_Performance Max_Listing_INTL"/>
    <s v="ENABLED"/>
    <n v="179.34"/>
    <n v="8"/>
    <n v="548"/>
    <n v="22.4175"/>
    <n v="1.4599000000000001E-2"/>
    <n v="327.26277399999998"/>
    <n v="1"/>
    <n v="43450"/>
    <s v="Rest of the World"/>
    <s v="Canada"/>
    <x v="0"/>
  </r>
  <r>
    <d v="2026-09-07T00:00:00"/>
    <s v="XYZ Luxury"/>
    <s v="Growify_Performance Max_Listing_INTL"/>
    <s v="ENABLED"/>
    <n v="25.9"/>
    <n v="1"/>
    <n v="171"/>
    <n v="25.9"/>
    <n v="5.8479999999999999E-3"/>
    <n v="151.46198799999999"/>
    <n v="0"/>
    <n v="0"/>
    <s v="Rest of the World"/>
    <s v="Canada"/>
    <x v="0"/>
  </r>
  <r>
    <d v="2026-10-07T00:00:00"/>
    <s v="XYZ Luxury"/>
    <s v="Growify_Performance Max_Listing_INTL"/>
    <s v="ENABLED"/>
    <n v="128.91"/>
    <n v="5"/>
    <n v="166"/>
    <n v="25.782"/>
    <n v="3.0120000000000001E-2"/>
    <n v="776.56626500000004"/>
    <n v="0"/>
    <n v="0"/>
    <s v="Rest of the World"/>
    <s v="Canada"/>
    <x v="0"/>
  </r>
  <r>
    <d v="2026-11-07T00:00:00"/>
    <s v="XYZ Luxury"/>
    <s v="Growify_Performance Max_Listing_INTL"/>
    <s v="ENABLED"/>
    <n v="696.41382499999997"/>
    <n v="9"/>
    <n v="260"/>
    <n v="77.379313999999994"/>
    <n v="3.4615E-2"/>
    <n v="2678.5147120000001"/>
    <n v="0"/>
    <n v="0"/>
    <s v="Rest of the World"/>
    <s v="Canada"/>
    <x v="0"/>
  </r>
  <r>
    <d v="2026-12-07T00:00:00"/>
    <s v="XYZ Luxury"/>
    <s v="Growify_Performance Max_Listing_INTL"/>
    <s v="ENABLED"/>
    <n v="371.11"/>
    <n v="2"/>
    <n v="399"/>
    <n v="185.55500000000001"/>
    <n v="5.0130000000000001E-3"/>
    <n v="930.10025099999996"/>
    <n v="0"/>
    <n v="0"/>
    <s v="Rest of the World"/>
    <s v="Canada"/>
    <x v="0"/>
  </r>
  <r>
    <s v="13-07-2026"/>
    <s v="XYZ Luxury"/>
    <s v="Growify_Performance Max_Listing_INTL"/>
    <s v="ENABLED"/>
    <n v="360.1"/>
    <n v="6"/>
    <n v="167"/>
    <n v="60.016666999999998"/>
    <n v="3.5928000000000002E-2"/>
    <n v="2156.287425"/>
    <n v="0"/>
    <n v="0"/>
    <s v="Rest of the World"/>
    <s v="Canada"/>
    <x v="0"/>
  </r>
  <r>
    <s v="14-07-2026"/>
    <s v="XYZ Luxury"/>
    <s v="Growify_Performance Max_Listing_INTL"/>
    <s v="ENABLED"/>
    <n v="12.39"/>
    <n v="1"/>
    <n v="85"/>
    <n v="12.39"/>
    <n v="1.1764999999999999E-2"/>
    <n v="145.76470599999999"/>
    <n v="0"/>
    <n v="0"/>
    <s v="Rest of the World"/>
    <s v="Canada"/>
    <x v="0"/>
  </r>
  <r>
    <s v="15-07-2026"/>
    <s v="XYZ Luxury"/>
    <s v="Growify_Performance Max_Listing_INTL"/>
    <s v="ENABLED"/>
    <n v="197.46"/>
    <n v="7"/>
    <n v="495"/>
    <n v="28.208570999999999"/>
    <n v="1.4141000000000001E-2"/>
    <n v="398.90909099999999"/>
    <n v="0"/>
    <n v="0"/>
    <s v="Rest of the World"/>
    <s v="Canada"/>
    <x v="0"/>
  </r>
  <r>
    <s v="16-07-2026"/>
    <s v="XYZ Luxury"/>
    <s v="Growify_Performance Max_Listing_INTL"/>
    <s v="ENABLED"/>
    <n v="179.38"/>
    <n v="9"/>
    <n v="670"/>
    <n v="19.931111000000001"/>
    <n v="1.3433E-2"/>
    <n v="267.73134299999998"/>
    <n v="0"/>
    <n v="0"/>
    <s v="Rest of the World"/>
    <s v="Canada"/>
    <x v="0"/>
  </r>
  <r>
    <s v="17-07-2026"/>
    <s v="XYZ Luxury"/>
    <s v="Growify_Performance Max_Listing_INTL"/>
    <s v="ENABLED"/>
    <n v="185.92"/>
    <n v="7"/>
    <n v="691"/>
    <n v="26.56"/>
    <n v="1.013E-2"/>
    <n v="269.05933399999998"/>
    <n v="0"/>
    <n v="0"/>
    <s v="Rest of the World"/>
    <s v="Canada"/>
    <x v="0"/>
  </r>
  <r>
    <s v="18-07-2026"/>
    <s v="XYZ Luxury"/>
    <s v="Growify_Performance Max_Listing_INTL"/>
    <s v="ENABLED"/>
    <n v="173.35680500000001"/>
    <n v="6"/>
    <n v="584"/>
    <n v="28.892800999999999"/>
    <n v="1.0274E-2"/>
    <n v="296.84384399999999"/>
    <n v="0"/>
    <n v="0"/>
    <s v="Rest of the World"/>
    <s v="Canada"/>
    <x v="0"/>
  </r>
  <r>
    <s v="19-07-2026"/>
    <s v="XYZ Luxury"/>
    <s v="Growify_Performance Max_Listing_INTL"/>
    <s v="ENABLED"/>
    <n v="333.3"/>
    <n v="9"/>
    <n v="400"/>
    <n v="37.033332999999999"/>
    <n v="2.2499999999999999E-2"/>
    <n v="833.25"/>
    <n v="0"/>
    <n v="0"/>
    <s v="Rest of the World"/>
    <s v="Canada"/>
    <x v="0"/>
  </r>
  <r>
    <s v="20-07-2026"/>
    <s v="XYZ Luxury"/>
    <s v="Growify_Performance Max_Listing_INTL"/>
    <s v="ENABLED"/>
    <n v="1459.43"/>
    <n v="8"/>
    <n v="306"/>
    <n v="182.42875000000001"/>
    <n v="2.6144000000000001E-2"/>
    <n v="4769.3790849999996"/>
    <n v="0"/>
    <n v="0"/>
    <s v="Rest of the World"/>
    <s v="Canada"/>
    <x v="0"/>
  </r>
  <r>
    <s v="22-07-2026"/>
    <s v="XYZ Luxury"/>
    <s v="Growify_Performance Max_Listing_INTL"/>
    <s v="ENABLED"/>
    <n v="19.329695000000001"/>
    <n v="4"/>
    <n v="161"/>
    <n v="4.8324239999999996"/>
    <n v="2.4844999999999999E-2"/>
    <n v="120.06021699999999"/>
    <n v="0"/>
    <n v="0"/>
    <s v="Rest of the World"/>
    <s v="Canada"/>
    <x v="0"/>
  </r>
  <r>
    <s v="23-07-2026"/>
    <s v="XYZ Luxury"/>
    <s v="Growify_Performance Max_Listing_INTL"/>
    <s v="ENABLED"/>
    <n v="66.287988999999996"/>
    <n v="2"/>
    <n v="159"/>
    <n v="33.143993999999999"/>
    <n v="1.2579E-2"/>
    <n v="416.90559100000002"/>
    <n v="0"/>
    <n v="0"/>
    <s v="Rest of the World"/>
    <s v="Canada"/>
    <x v="0"/>
  </r>
  <r>
    <s v="24-07-2026"/>
    <s v="XYZ Luxury"/>
    <s v="Growify_Performance Max_Listing_INTL"/>
    <s v="ENABLED"/>
    <n v="63.395814999999999"/>
    <n v="3"/>
    <n v="407"/>
    <n v="21.131938000000002"/>
    <n v="7.3709999999999999E-3"/>
    <n v="155.76367300000001"/>
    <n v="0"/>
    <n v="0"/>
    <s v="Rest of the World"/>
    <s v="Canada"/>
    <x v="0"/>
  </r>
  <r>
    <s v="26-07-2026"/>
    <s v="XYZ Luxury"/>
    <s v="Growify_Performance Max_Listing_INTL"/>
    <s v="ENABLED"/>
    <n v="194.73657499999999"/>
    <n v="6"/>
    <n v="163"/>
    <n v="32.456096000000002"/>
    <n v="3.6810000000000002E-2"/>
    <n v="1194.702914"/>
    <n v="0.16"/>
    <n v="1552.0626"/>
    <s v="Rest of the World"/>
    <s v="Canada"/>
    <x v="0"/>
  </r>
  <r>
    <s v="27-07-2026"/>
    <s v="XYZ Luxury"/>
    <s v="Growify_Performance Max_Listing_INTL"/>
    <s v="ENABLED"/>
    <n v="10.395614999999999"/>
    <n v="1"/>
    <n v="118"/>
    <n v="10.395614999999999"/>
    <n v="8.4749999999999999E-3"/>
    <n v="88.098432000000003"/>
    <n v="0.16"/>
    <n v="1552.0626"/>
    <s v="Rest of the World"/>
    <s v="Canada"/>
    <x v="0"/>
  </r>
  <r>
    <s v="28-07-2026"/>
    <s v="XYZ Luxury"/>
    <s v="Growify_Performance Max_Listing_INTL"/>
    <s v="ENABLED"/>
    <n v="79.623683"/>
    <n v="4"/>
    <n v="164"/>
    <n v="19.905920999999999"/>
    <n v="2.4389999999999998E-2"/>
    <n v="485.51026200000001"/>
    <n v="0.16"/>
    <n v="1552.0721699999999"/>
    <s v="Rest of the World"/>
    <s v="Canada"/>
    <x v="0"/>
  </r>
  <r>
    <s v="29-07-2026"/>
    <s v="XYZ Luxury"/>
    <s v="Growify_Performance Max_Listing_INTL"/>
    <s v="ENABLED"/>
    <n v="366.658165"/>
    <n v="9"/>
    <n v="415"/>
    <n v="40.739795999999998"/>
    <n v="2.1687000000000001E-2"/>
    <n v="883.51365099999998"/>
    <n v="0"/>
    <n v="0"/>
    <s v="Rest of the World"/>
    <s v="Canada"/>
    <x v="0"/>
  </r>
  <r>
    <s v="30-07-2026"/>
    <s v="XYZ Luxury"/>
    <s v="Growify_Performance Max_Listing_INTL"/>
    <s v="ENABLED"/>
    <n v="65.91"/>
    <n v="4"/>
    <n v="245"/>
    <n v="16.477499999999999"/>
    <n v="1.6327000000000001E-2"/>
    <n v="269.02040799999997"/>
    <n v="0"/>
    <n v="0"/>
    <s v="Rest of the World"/>
    <s v="Canada"/>
    <x v="0"/>
  </r>
  <r>
    <d v="2026-01-07T00:00:00"/>
    <s v="XYZ Luxury"/>
    <s v="Growify_XYZ LuxuryP_Search_India-12/12/25"/>
    <s v="ENABLED"/>
    <n v="669.14872600000001"/>
    <n v="73"/>
    <n v="176"/>
    <n v="9.1664209999999997"/>
    <n v="0.414773"/>
    <n v="3801.9813979999999"/>
    <n v="1"/>
    <n v="7990"/>
    <s v="India"/>
    <s v="India"/>
    <x v="1"/>
  </r>
  <r>
    <d v="2026-02-07T00:00:00"/>
    <s v="XYZ Luxury"/>
    <s v="Growify_XYZ LuxuryP_Search_India-12/12/25"/>
    <s v="ENABLED"/>
    <n v="1.73"/>
    <n v="1"/>
    <n v="2"/>
    <n v="1.73"/>
    <n v="0.5"/>
    <n v="865"/>
    <n v="0"/>
    <n v="0"/>
    <s v="India"/>
    <s v="India"/>
    <x v="1"/>
  </r>
  <r>
    <d v="2026-04-07T00:00:00"/>
    <s v="XYZ Luxury"/>
    <s v="Growify_XYZ LuxuryP_Search_India-12/12/25"/>
    <s v="ENABLED"/>
    <n v="1052.795208"/>
    <n v="89"/>
    <n v="214"/>
    <n v="11.82916"/>
    <n v="0.41588799999999998"/>
    <n v="4919.6037759999999"/>
    <n v="1"/>
    <n v="14200"/>
    <s v="India"/>
    <s v="India"/>
    <x v="1"/>
  </r>
  <r>
    <d v="2026-05-07T00:00:00"/>
    <s v="XYZ Luxury"/>
    <s v="Growify_XYZ LuxuryP_Search_India-12/12/25"/>
    <s v="ENABLED"/>
    <n v="1613.4482620000001"/>
    <n v="115"/>
    <n v="533"/>
    <n v="14.029985"/>
    <n v="0.21576000000000001"/>
    <n v="3027.1074330000001"/>
    <n v="0"/>
    <n v="0"/>
    <s v="India"/>
    <s v="India"/>
    <x v="1"/>
  </r>
  <r>
    <d v="2026-06-07T00:00:00"/>
    <s v="XYZ Luxury"/>
    <s v="Growify_XYZ LuxuryP_Search_India-12/12/25"/>
    <s v="ENABLED"/>
    <n v="842.86889399999995"/>
    <n v="80"/>
    <n v="415"/>
    <n v="10.535861000000001"/>
    <n v="0.192771"/>
    <n v="2031.0093830000001"/>
    <n v="0.4"/>
    <n v="1320"/>
    <s v="India"/>
    <s v="India"/>
    <x v="1"/>
  </r>
  <r>
    <d v="2026-07-07T00:00:00"/>
    <s v="XYZ Luxury"/>
    <s v="Growify_XYZ LuxuryP_Search_India-12/12/25"/>
    <s v="ENABLED"/>
    <n v="1136.338996"/>
    <n v="91"/>
    <n v="364"/>
    <n v="12.487242"/>
    <n v="0.25"/>
    <n v="3121.8104290000001"/>
    <n v="2"/>
    <n v="24450"/>
    <s v="India"/>
    <s v="India"/>
    <x v="1"/>
  </r>
  <r>
    <d v="2026-08-07T00:00:00"/>
    <s v="XYZ Luxury"/>
    <s v="Growify_XYZ LuxuryP_Search_India-12/12/25"/>
    <s v="ENABLED"/>
    <n v="355.32216799999998"/>
    <n v="56"/>
    <n v="165"/>
    <n v="6.3450389999999999"/>
    <n v="0.33939399999999997"/>
    <n v="2153.4676850000001"/>
    <n v="0.2"/>
    <n v="660"/>
    <s v="India"/>
    <s v="India"/>
    <x v="1"/>
  </r>
  <r>
    <d v="2026-09-07T00:00:00"/>
    <s v="XYZ Luxury"/>
    <s v="Growify_XYZ LuxuryP_Search_India-12/12/25"/>
    <s v="ENABLED"/>
    <n v="593.98483499999998"/>
    <n v="45"/>
    <n v="217"/>
    <n v="13.199662999999999"/>
    <n v="0.207373"/>
    <n v="2737.2573040000002"/>
    <n v="0"/>
    <n v="0"/>
    <s v="India"/>
    <s v="India"/>
    <x v="1"/>
  </r>
  <r>
    <d v="2026-10-07T00:00:00"/>
    <s v="XYZ Luxury"/>
    <s v="Growify_XYZ LuxuryP_Search_India-12/12/25"/>
    <s v="ENABLED"/>
    <n v="1194.785648"/>
    <n v="66"/>
    <n v="305"/>
    <n v="18.102813000000001"/>
    <n v="0.216393"/>
    <n v="3917.3299929999998"/>
    <n v="1"/>
    <n v="2400"/>
    <s v="India"/>
    <s v="India"/>
    <x v="1"/>
  </r>
  <r>
    <d v="2026-11-07T00:00:00"/>
    <s v="XYZ Luxury"/>
    <s v="Growify_XYZ LuxuryP_Search_India-12/12/25"/>
    <s v="ENABLED"/>
    <n v="972.36740699999996"/>
    <n v="71"/>
    <n v="249"/>
    <n v="13.695316"/>
    <n v="0.28514099999999998"/>
    <n v="3905.0899880000002"/>
    <n v="0"/>
    <n v="0"/>
    <s v="India"/>
    <s v="India"/>
    <x v="1"/>
  </r>
  <r>
    <d v="2026-12-07T00:00:00"/>
    <s v="XYZ Luxury"/>
    <s v="Growify_XYZ LuxuryP_Search_India-12/12/25"/>
    <s v="ENABLED"/>
    <n v="996.62238300000001"/>
    <n v="78"/>
    <n v="293"/>
    <n v="12.77721"/>
    <n v="0.266212"/>
    <n v="3401.4415800000002"/>
    <n v="0"/>
    <n v="0"/>
    <s v="India"/>
    <s v="India"/>
    <x v="1"/>
  </r>
  <r>
    <s v="13-07-2026"/>
    <s v="XYZ Luxury"/>
    <s v="Growify_XYZ LuxuryP_Search_India-12/12/25"/>
    <s v="ENABLED"/>
    <n v="815.22679600000004"/>
    <n v="74"/>
    <n v="237"/>
    <n v="11.016578000000001"/>
    <n v="0.31223600000000001"/>
    <n v="3439.7755109999998"/>
    <n v="3"/>
    <n v="11631.92"/>
    <s v="India"/>
    <s v="India"/>
    <x v="1"/>
  </r>
  <r>
    <s v="14-07-2026"/>
    <s v="XYZ Luxury"/>
    <s v="Growify_XYZ LuxuryP_Search_India-12/12/25"/>
    <s v="ENABLED"/>
    <n v="561.56972099999996"/>
    <n v="62"/>
    <n v="137"/>
    <n v="9.0575759999999992"/>
    <n v="0.45255499999999999"/>
    <n v="4099.0490579999996"/>
    <n v="1"/>
    <n v="13666"/>
    <s v="India"/>
    <s v="India"/>
    <x v="1"/>
  </r>
  <r>
    <s v="15-07-2026"/>
    <s v="XYZ Luxury"/>
    <s v="Growify_XYZ LuxuryP_Search_India-12/12/25"/>
    <s v="ENABLED"/>
    <n v="644.01024099999995"/>
    <n v="79"/>
    <n v="199"/>
    <n v="8.1520279999999996"/>
    <n v="0.39698499999999998"/>
    <n v="3236.2323670000001"/>
    <n v="1"/>
    <n v="3366"/>
    <s v="India"/>
    <s v="India"/>
    <x v="1"/>
  </r>
  <r>
    <s v="16-07-2026"/>
    <s v="XYZ Luxury"/>
    <s v="Growify_XYZ LuxuryP_Search_India-12/12/25"/>
    <s v="ENABLED"/>
    <n v="265.17493300000001"/>
    <n v="89"/>
    <n v="155"/>
    <n v="2.9794939999999999"/>
    <n v="0.57419399999999998"/>
    <n v="1710.8060190000001"/>
    <n v="2"/>
    <n v="13340"/>
    <s v="India"/>
    <s v="India"/>
    <x v="1"/>
  </r>
  <r>
    <s v="17-07-2026"/>
    <s v="XYZ Luxury"/>
    <s v="Growify_XYZ LuxuryP_Search_India-12/12/25"/>
    <s v="ENABLED"/>
    <n v="471.044355"/>
    <n v="79"/>
    <n v="128"/>
    <n v="5.9625870000000001"/>
    <n v="0.61718799999999996"/>
    <n v="3680.0340230000002"/>
    <n v="0"/>
    <n v="0"/>
    <s v="India"/>
    <s v="India"/>
    <x v="1"/>
  </r>
  <r>
    <s v="18-07-2026"/>
    <s v="XYZ Luxury"/>
    <s v="Growify_XYZ LuxuryP_Search_India-12/12/25"/>
    <s v="ENABLED"/>
    <n v="264.579949"/>
    <n v="79"/>
    <n v="150"/>
    <n v="3.349113"/>
    <n v="0.526667"/>
    <n v="1763.866327"/>
    <n v="0"/>
    <n v="0"/>
    <s v="India"/>
    <s v="India"/>
    <x v="1"/>
  </r>
  <r>
    <s v="19-07-2026"/>
    <s v="XYZ Luxury"/>
    <s v="Growify_XYZ LuxuryP_Search_India-12/12/25"/>
    <s v="ENABLED"/>
    <n v="780.56824200000005"/>
    <n v="51"/>
    <n v="89"/>
    <n v="15.305260000000001"/>
    <n v="0.57303400000000004"/>
    <n v="8770.4296849999992"/>
    <n v="0"/>
    <n v="0"/>
    <s v="India"/>
    <s v="India"/>
    <x v="1"/>
  </r>
  <r>
    <s v="20-07-2026"/>
    <s v="XYZ Luxury"/>
    <s v="Growify_XYZ LuxuryP_Search_India-12/12/25"/>
    <s v="ENABLED"/>
    <n v="353.08576499999998"/>
    <n v="49"/>
    <n v="118"/>
    <n v="7.205832"/>
    <n v="0.41525400000000001"/>
    <n v="2992.252246"/>
    <n v="0"/>
    <n v="0"/>
    <s v="India"/>
    <s v="India"/>
    <x v="1"/>
  </r>
  <r>
    <s v="21-07-2026"/>
    <s v="XYZ Luxury"/>
    <s v="Growify_XYZ LuxuryP_Search_India-12/12/25"/>
    <s v="ENABLED"/>
    <n v="185.585702"/>
    <n v="17"/>
    <n v="29"/>
    <n v="10.916805999999999"/>
    <n v="0.58620700000000003"/>
    <n v="6399.5069659999999"/>
    <n v="0"/>
    <n v="0"/>
    <s v="India"/>
    <s v="India"/>
    <x v="1"/>
  </r>
  <r>
    <s v="22-07-2026"/>
    <s v="XYZ Luxury"/>
    <s v="Growify_XYZ LuxuryP_Search_India-12/12/25"/>
    <s v="ENABLED"/>
    <n v="329.240499"/>
    <n v="64"/>
    <n v="107"/>
    <n v="5.1443830000000004"/>
    <n v="0.59813099999999997"/>
    <n v="3077.014009"/>
    <n v="0"/>
    <n v="0"/>
    <s v="India"/>
    <s v="India"/>
    <x v="1"/>
  </r>
  <r>
    <s v="23-07-2026"/>
    <s v="XYZ Luxury"/>
    <s v="Growify_XYZ LuxuryP_Search_India-12/12/25"/>
    <s v="ENABLED"/>
    <n v="499.24848200000002"/>
    <n v="49"/>
    <n v="66"/>
    <n v="10.188745000000001"/>
    <n v="0.74242399999999997"/>
    <n v="7564.3709390000004"/>
    <n v="2.5"/>
    <n v="20682.96"/>
    <s v="India"/>
    <s v="India"/>
    <x v="1"/>
  </r>
  <r>
    <s v="24-07-2026"/>
    <s v="XYZ Luxury"/>
    <s v="Growify_XYZ LuxuryP_Search_India-12/12/25"/>
    <s v="ENABLED"/>
    <n v="886.72352100000001"/>
    <n v="92"/>
    <n v="151"/>
    <n v="9.6382989999999999"/>
    <n v="0.60927200000000004"/>
    <n v="5872.3411990000004"/>
    <n v="0"/>
    <n v="0"/>
    <s v="India"/>
    <s v="India"/>
    <x v="1"/>
  </r>
  <r>
    <s v="25-07-2026"/>
    <s v="XYZ Luxury"/>
    <s v="Growify_XYZ LuxuryP_Search_India-12/12/25"/>
    <s v="ENABLED"/>
    <n v="621.49078399999996"/>
    <n v="60"/>
    <n v="115"/>
    <n v="10.358180000000001"/>
    <n v="0.52173899999999995"/>
    <n v="5404.2676869999996"/>
    <n v="0.5"/>
    <n v="3782.96"/>
    <s v="India"/>
    <s v="India"/>
    <x v="1"/>
  </r>
  <r>
    <s v="26-07-2026"/>
    <s v="XYZ Luxury"/>
    <s v="Growify_XYZ LuxuryP_Search_India-12/12/25"/>
    <s v="ENABLED"/>
    <n v="1830.6661509999999"/>
    <n v="72"/>
    <n v="119"/>
    <n v="25.425919"/>
    <n v="0.60504199999999997"/>
    <n v="15383.749169999999"/>
    <n v="1"/>
    <n v="5200"/>
    <s v="India"/>
    <s v="India"/>
    <x v="1"/>
  </r>
  <r>
    <s v="27-07-2026"/>
    <s v="XYZ Luxury"/>
    <s v="Growify_XYZ LuxuryP_Search_India-12/12/25"/>
    <s v="ENABLED"/>
    <n v="364.998853"/>
    <n v="37"/>
    <n v="76"/>
    <n v="9.8648340000000001"/>
    <n v="0.486842"/>
    <n v="4802.6164870000002"/>
    <n v="0"/>
    <n v="0"/>
    <s v="India"/>
    <s v="India"/>
    <x v="1"/>
  </r>
  <r>
    <s v="28-07-2026"/>
    <s v="XYZ Luxury"/>
    <s v="Growify_XYZ LuxuryP_Search_India-12/12/25"/>
    <s v="ENABLED"/>
    <n v="316.49379299999998"/>
    <n v="58"/>
    <n v="91"/>
    <n v="5.4567899999999998"/>
    <n v="0.63736300000000001"/>
    <n v="3477.9537690000002"/>
    <n v="1"/>
    <n v="3400"/>
    <s v="India"/>
    <s v="India"/>
    <x v="1"/>
  </r>
  <r>
    <s v="29-07-2026"/>
    <s v="XYZ Luxury"/>
    <s v="Growify_XYZ LuxuryP_Search_India-12/12/25"/>
    <s v="ENABLED"/>
    <n v="701.63128700000004"/>
    <n v="92"/>
    <n v="176"/>
    <n v="7.6264269999999996"/>
    <n v="0.52272700000000005"/>
    <n v="3986.5414030000002"/>
    <n v="1"/>
    <n v="21850"/>
    <s v="India"/>
    <s v="India"/>
    <x v="1"/>
  </r>
  <r>
    <s v="30-07-2026"/>
    <s v="XYZ Luxury"/>
    <s v="Growify_XYZ LuxuryP_Search_India-12/12/25"/>
    <s v="ENABLED"/>
    <n v="382.52317799999997"/>
    <n v="46"/>
    <n v="74"/>
    <n v="8.3157209999999999"/>
    <n v="0.62162200000000001"/>
    <n v="5169.2321350000002"/>
    <n v="0"/>
    <n v="0"/>
    <s v="India"/>
    <s v="India"/>
    <x v="1"/>
  </r>
  <r>
    <d v="2026-01-07T00:00:00"/>
    <s v="XYZ Luxury"/>
    <s v="Growify_P.max_HP_EOSS_Ind"/>
    <s v="ENABLED"/>
    <n v="578.20867299999998"/>
    <n v="58"/>
    <n v="4182"/>
    <n v="9.9691150000000004"/>
    <n v="1.3868999999999999E-2"/>
    <n v="138.26128"/>
    <n v="0"/>
    <n v="0"/>
    <s v="India"/>
    <s v="India"/>
    <x v="1"/>
  </r>
  <r>
    <d v="2026-04-07T00:00:00"/>
    <s v="XYZ Luxury"/>
    <s v="Growify_P.max_HP_EOSS_Ind"/>
    <s v="ENABLED"/>
    <n v="1400.090876"/>
    <n v="62"/>
    <n v="4124"/>
    <n v="22.582111000000001"/>
    <n v="1.5034E-2"/>
    <n v="339.49827299999998"/>
    <n v="0.16"/>
    <n v="2404.41"/>
    <s v="India"/>
    <s v="India"/>
    <x v="1"/>
  </r>
  <r>
    <d v="2026-05-07T00:00:00"/>
    <s v="XYZ Luxury"/>
    <s v="Growify_P.max_HP_EOSS_Ind"/>
    <s v="ENABLED"/>
    <n v="1183.2323899999999"/>
    <n v="244"/>
    <n v="10550"/>
    <n v="4.8493130000000004"/>
    <n v="2.3127999999999999E-2"/>
    <n v="112.154729"/>
    <n v="0"/>
    <n v="0"/>
    <s v="India"/>
    <s v="India"/>
    <x v="1"/>
  </r>
  <r>
    <d v="2026-06-07T00:00:00"/>
    <s v="XYZ Luxury"/>
    <s v="Growify_P.max_HP_EOSS_Ind"/>
    <s v="ENABLED"/>
    <n v="791.08074499999998"/>
    <n v="110"/>
    <n v="5695"/>
    <n v="7.191643"/>
    <n v="1.9314999999999999E-2"/>
    <n v="138.90794500000001"/>
    <n v="0"/>
    <n v="0"/>
    <s v="India"/>
    <s v="India"/>
    <x v="1"/>
  </r>
  <r>
    <d v="2026-07-07T00:00:00"/>
    <s v="XYZ Luxury"/>
    <s v="Growify_P.max_HP_EOSS_Ind"/>
    <s v="ENABLED"/>
    <n v="646.35622000000001"/>
    <n v="137"/>
    <n v="6293"/>
    <n v="4.7179289999999998"/>
    <n v="2.1770000000000001E-2"/>
    <n v="102.710348"/>
    <n v="1"/>
    <n v="2000"/>
    <s v="India"/>
    <s v="India"/>
    <x v="1"/>
  </r>
  <r>
    <d v="2026-08-07T00:00:00"/>
    <s v="XYZ Luxury"/>
    <s v="Growify_P.max_HP_EOSS_Ind"/>
    <s v="ENABLED"/>
    <n v="766.15319899999997"/>
    <n v="125"/>
    <n v="4728"/>
    <n v="6.1292260000000001"/>
    <n v="2.6438E-2"/>
    <n v="162.045939"/>
    <n v="0"/>
    <n v="0"/>
    <s v="India"/>
    <s v="India"/>
    <x v="1"/>
  </r>
  <r>
    <d v="2026-09-07T00:00:00"/>
    <s v="XYZ Luxury"/>
    <s v="Growify_P.max_HP_EOSS_Ind"/>
    <s v="ENABLED"/>
    <n v="628.73184600000002"/>
    <n v="88"/>
    <n v="4867"/>
    <n v="7.1446800000000001"/>
    <n v="1.8081E-2"/>
    <n v="129.182627"/>
    <n v="0.99"/>
    <n v="2968.7939999999999"/>
    <s v="India"/>
    <s v="India"/>
    <x v="1"/>
  </r>
  <r>
    <d v="2026-10-07T00:00:00"/>
    <s v="XYZ Luxury"/>
    <s v="Growify_P.max_HP_EOSS_Ind"/>
    <s v="ENABLED"/>
    <n v="696.251802"/>
    <n v="110"/>
    <n v="5292"/>
    <n v="6.3295620000000001"/>
    <n v="2.0785999999999999E-2"/>
    <n v="131.566856"/>
    <n v="0"/>
    <n v="0"/>
    <s v="India"/>
    <s v="India"/>
    <x v="1"/>
  </r>
  <r>
    <d v="2026-11-07T00:00:00"/>
    <s v="XYZ Luxury"/>
    <s v="Growify_P.max_HP_EOSS_Ind"/>
    <s v="ENABLED"/>
    <n v="1064.4317249999999"/>
    <n v="204"/>
    <n v="8465"/>
    <n v="5.217803"/>
    <n v="2.4098999999999999E-2"/>
    <n v="125.745035"/>
    <n v="0"/>
    <n v="0"/>
    <s v="India"/>
    <s v="India"/>
    <x v="1"/>
  </r>
  <r>
    <d v="2026-12-07T00:00:00"/>
    <s v="XYZ Luxury"/>
    <s v="Growify_P.max_HP_EOSS_Ind"/>
    <s v="ENABLED"/>
    <n v="730.94260599999996"/>
    <n v="68"/>
    <n v="3238"/>
    <n v="10.749155999999999"/>
    <n v="2.1000999999999999E-2"/>
    <n v="225.73891499999999"/>
    <n v="1"/>
    <n v="6261.75"/>
    <s v="India"/>
    <s v="India"/>
    <x v="1"/>
  </r>
  <r>
    <s v="13-07-2026"/>
    <s v="XYZ Luxury"/>
    <s v="Growify_P.max_HP_EOSS_Ind"/>
    <s v="ENABLED"/>
    <n v="1455.899445"/>
    <n v="18"/>
    <n v="951"/>
    <n v="80.883302999999998"/>
    <n v="1.8926999999999999E-2"/>
    <n v="1530.9142429999999"/>
    <n v="0"/>
    <n v="0"/>
    <s v="India"/>
    <s v="India"/>
    <x v="1"/>
  </r>
  <r>
    <s v="14-07-2026"/>
    <s v="XYZ Luxury"/>
    <s v="Growify_P.max_HP_EOSS_Ind"/>
    <s v="ENABLED"/>
    <n v="133.76101199999999"/>
    <n v="40"/>
    <n v="1813"/>
    <n v="3.3440249999999998"/>
    <n v="2.2062999999999999E-2"/>
    <n v="73.778825999999995"/>
    <n v="0"/>
    <n v="0"/>
    <s v="India"/>
    <s v="India"/>
    <x v="1"/>
  </r>
  <r>
    <s v="15-07-2026"/>
    <s v="XYZ Luxury"/>
    <s v="Growify_P.max_HP_EOSS_Ind"/>
    <s v="ENABLED"/>
    <n v="776.05421999999999"/>
    <n v="86"/>
    <n v="5334"/>
    <n v="9.0238859999999992"/>
    <n v="1.6122999999999998E-2"/>
    <n v="145.49198000000001"/>
    <n v="0.04"/>
    <n v="392.86582499999997"/>
    <s v="India"/>
    <s v="India"/>
    <x v="1"/>
  </r>
  <r>
    <s v="16-07-2026"/>
    <s v="XYZ Luxury"/>
    <s v="Growify_P.max_HP_EOSS_Ind"/>
    <s v="ENABLED"/>
    <n v="608.25821699999995"/>
    <n v="67"/>
    <n v="2651"/>
    <n v="9.078481"/>
    <n v="2.5273E-2"/>
    <n v="229.44481999999999"/>
    <n v="0"/>
    <n v="0"/>
    <s v="India"/>
    <s v="India"/>
    <x v="1"/>
  </r>
  <r>
    <s v="17-07-2026"/>
    <s v="XYZ Luxury"/>
    <s v="Growify_P.max_HP_EOSS_Ind"/>
    <s v="ENABLED"/>
    <n v="348.70881700000001"/>
    <n v="54"/>
    <n v="2578"/>
    <n v="6.4575709999999997"/>
    <n v="2.0945999999999999E-2"/>
    <n v="135.26331099999999"/>
    <n v="0"/>
    <n v="0"/>
    <s v="India"/>
    <s v="India"/>
    <x v="1"/>
  </r>
  <r>
    <s v="18-07-2026"/>
    <s v="XYZ Luxury"/>
    <s v="Growify_P.max_HP_EOSS_Ind"/>
    <s v="ENABLED"/>
    <n v="580.53152299999999"/>
    <n v="70"/>
    <n v="3443"/>
    <n v="8.2933070000000004"/>
    <n v="2.0330999999999998E-2"/>
    <n v="168.61211800000001"/>
    <n v="0"/>
    <n v="12.7188"/>
    <s v="India"/>
    <s v="India"/>
    <x v="1"/>
  </r>
  <r>
    <s v="19-07-2026"/>
    <s v="XYZ Luxury"/>
    <s v="Growify_P.max_HP_EOSS_Ind"/>
    <s v="ENABLED"/>
    <n v="560.37495899999999"/>
    <n v="95"/>
    <n v="4094"/>
    <n v="5.8986840000000003"/>
    <n v="2.3205E-2"/>
    <n v="136.877127"/>
    <n v="0.64"/>
    <n v="5803.1811749999997"/>
    <s v="India"/>
    <s v="India"/>
    <x v="1"/>
  </r>
  <r>
    <s v="20-07-2026"/>
    <s v="XYZ Luxury"/>
    <s v="Growify_P.max_HP_EOSS_Ind"/>
    <s v="ENABLED"/>
    <n v="336.46567199999998"/>
    <n v="70"/>
    <n v="3497"/>
    <n v="4.8066519999999997"/>
    <n v="2.0017E-2"/>
    <n v="96.215519999999998"/>
    <n v="1"/>
    <n v="3587.2811999999999"/>
    <s v="India"/>
    <s v="India"/>
    <x v="1"/>
  </r>
  <r>
    <s v="21-07-2026"/>
    <s v="XYZ Luxury"/>
    <s v="Growify_P.max_HP_EOSS_Ind"/>
    <s v="ENABLED"/>
    <n v="89.989331000000007"/>
    <n v="40"/>
    <n v="1580"/>
    <n v="2.249733"/>
    <n v="2.5316000000000002E-2"/>
    <n v="56.955272999999998"/>
    <n v="0"/>
    <n v="0"/>
    <s v="India"/>
    <s v="India"/>
    <x v="1"/>
  </r>
  <r>
    <s v="22-07-2026"/>
    <s v="XYZ Luxury"/>
    <s v="Growify_P.max_HP_EOSS_Ind"/>
    <s v="ENABLED"/>
    <n v="951.43274399999996"/>
    <n v="199"/>
    <n v="7891"/>
    <n v="4.7810689999999996"/>
    <n v="2.5218999999999998E-2"/>
    <n v="120.57188499999999"/>
    <n v="0"/>
    <n v="0"/>
    <s v="India"/>
    <s v="India"/>
    <x v="1"/>
  </r>
  <r>
    <s v="23-07-2026"/>
    <s v="XYZ Luxury"/>
    <s v="Growify_P.max_HP_EOSS_Ind"/>
    <s v="ENABLED"/>
    <n v="664.99022300000001"/>
    <n v="152"/>
    <n v="6334"/>
    <n v="4.3749359999999999"/>
    <n v="2.3997000000000001E-2"/>
    <n v="104.987405"/>
    <n v="0"/>
    <n v="0"/>
    <s v="India"/>
    <s v="India"/>
    <x v="1"/>
  </r>
  <r>
    <s v="24-07-2026"/>
    <s v="XYZ Luxury"/>
    <s v="Growify_P.max_HP_EOSS_Ind"/>
    <s v="ENABLED"/>
    <n v="570.20240699999999"/>
    <n v="86"/>
    <n v="4128"/>
    <n v="6.630261"/>
    <n v="2.0833000000000001E-2"/>
    <n v="138.13042799999999"/>
    <n v="0"/>
    <n v="0"/>
    <s v="India"/>
    <s v="India"/>
    <x v="1"/>
  </r>
  <r>
    <s v="25-07-2026"/>
    <s v="XYZ Luxury"/>
    <s v="Growify_P.max_HP_EOSS_Ind"/>
    <s v="ENABLED"/>
    <n v="519.66368599999998"/>
    <n v="51"/>
    <n v="3029"/>
    <n v="10.189484"/>
    <n v="1.6837000000000001E-2"/>
    <n v="171.56278800000001"/>
    <n v="0"/>
    <n v="0"/>
    <s v="India"/>
    <s v="India"/>
    <x v="1"/>
  </r>
  <r>
    <s v="26-07-2026"/>
    <s v="XYZ Luxury"/>
    <s v="Growify_P.max_HP_EOSS_Ind"/>
    <s v="ENABLED"/>
    <n v="337.79773399999999"/>
    <n v="84"/>
    <n v="3813"/>
    <n v="4.0214020000000001"/>
    <n v="2.2030000000000001E-2"/>
    <n v="88.591065999999998"/>
    <n v="0.1"/>
    <n v="357.26823000000002"/>
    <s v="India"/>
    <s v="India"/>
    <x v="1"/>
  </r>
  <r>
    <s v="27-07-2026"/>
    <s v="XYZ Luxury"/>
    <s v="Growify_P.max_HP_EOSS_Ind"/>
    <s v="ENABLED"/>
    <n v="567.587492"/>
    <n v="145"/>
    <n v="4924"/>
    <n v="3.914396"/>
    <n v="2.9447999999999998E-2"/>
    <n v="115.26959600000001"/>
    <n v="0"/>
    <n v="0"/>
    <s v="India"/>
    <s v="India"/>
    <x v="1"/>
  </r>
  <r>
    <s v="28-07-2026"/>
    <s v="XYZ Luxury"/>
    <s v="Growify_P.max_HP_EOSS_Ind"/>
    <s v="ENABLED"/>
    <n v="502.157692"/>
    <n v="131"/>
    <n v="4212"/>
    <n v="3.8332649999999999"/>
    <n v="3.1102000000000001E-2"/>
    <n v="119.220725"/>
    <n v="2.0099999999999998"/>
    <n v="7334.5470400000004"/>
    <s v="India"/>
    <s v="India"/>
    <x v="1"/>
  </r>
  <r>
    <s v="29-07-2026"/>
    <s v="XYZ Luxury"/>
    <s v="Growify_P.max_HP_EOSS_Ind"/>
    <s v="ENABLED"/>
    <n v="646.94541700000002"/>
    <n v="82"/>
    <n v="4202"/>
    <n v="7.8895780000000002"/>
    <n v="1.9515000000000001E-2"/>
    <n v="153.961308"/>
    <n v="0"/>
    <n v="0"/>
    <s v="India"/>
    <s v="India"/>
    <x v="1"/>
  </r>
  <r>
    <s v="30-07-2026"/>
    <s v="XYZ Luxury"/>
    <s v="Growify_P.max_HP_EOSS_Ind"/>
    <s v="ENABLED"/>
    <n v="175.193985"/>
    <n v="40"/>
    <n v="1453"/>
    <n v="4.3798500000000002"/>
    <n v="2.7529000000000001E-2"/>
    <n v="120.573975"/>
    <n v="1"/>
    <n v="3964.3104600000001"/>
    <s v="India"/>
    <s v="India"/>
    <x v="1"/>
  </r>
  <r>
    <d v="2026-01-07T00:00:00"/>
    <s v="XYZ Luxury"/>
    <s v="Growify_Performance Max_Listing_IND"/>
    <s v="ENABLED"/>
    <n v="780.21200999999996"/>
    <n v="158"/>
    <n v="8490"/>
    <n v="4.9380509999999997"/>
    <n v="1.8610000000000002E-2"/>
    <n v="91.897762999999998"/>
    <n v="0"/>
    <n v="0"/>
    <s v="India"/>
    <s v="India"/>
    <x v="1"/>
  </r>
  <r>
    <d v="2026-02-07T00:00:00"/>
    <s v="XYZ Luxury"/>
    <s v="Growify_Performance Max_Listing_IND"/>
    <s v="ENABLED"/>
    <n v="2.48"/>
    <n v="1"/>
    <n v="118"/>
    <n v="2.48"/>
    <n v="8.4749999999999999E-3"/>
    <n v="21.016949"/>
    <n v="0"/>
    <n v="0"/>
    <s v="India"/>
    <s v="India"/>
    <x v="1"/>
  </r>
  <r>
    <d v="2026-04-07T00:00:00"/>
    <s v="XYZ Luxury"/>
    <s v="Growify_Performance Max_Listing_IND"/>
    <s v="ENABLED"/>
    <n v="1268.637843"/>
    <n v="251"/>
    <n v="12557"/>
    <n v="5.0543339999999999"/>
    <n v="1.9989E-2"/>
    <n v="101.03032899999999"/>
    <n v="0.88"/>
    <n v="15198.75"/>
    <s v="India"/>
    <s v="India"/>
    <x v="1"/>
  </r>
  <r>
    <d v="2026-05-07T00:00:00"/>
    <s v="XYZ Luxury"/>
    <s v="Growify_Performance Max_Listing_IND"/>
    <s v="ENABLED"/>
    <n v="1954.240233"/>
    <n v="313"/>
    <n v="16395"/>
    <n v="6.2435790000000004"/>
    <n v="1.9091E-2"/>
    <n v="119.19732999999999"/>
    <n v="0.39"/>
    <n v="78.845399999999998"/>
    <s v="India"/>
    <s v="India"/>
    <x v="1"/>
  </r>
  <r>
    <d v="2026-06-07T00:00:00"/>
    <s v="XYZ Luxury"/>
    <s v="Growify_Performance Max_Listing_IND"/>
    <s v="ENABLED"/>
    <n v="1595.4130130000001"/>
    <n v="426"/>
    <n v="21507"/>
    <n v="3.745101"/>
    <n v="1.9807999999999999E-2"/>
    <n v="74.181104000000005"/>
    <n v="0"/>
    <n v="0"/>
    <s v="India"/>
    <s v="India"/>
    <x v="1"/>
  </r>
  <r>
    <d v="2026-07-07T00:00:00"/>
    <s v="XYZ Luxury"/>
    <s v="Growify_Performance Max_Listing_IND"/>
    <s v="ENABLED"/>
    <n v="1486.356761"/>
    <n v="351"/>
    <n v="18172"/>
    <n v="4.2346349999999999"/>
    <n v="1.9314999999999999E-2"/>
    <n v="81.793790999999999"/>
    <n v="0"/>
    <n v="0"/>
    <s v="India"/>
    <s v="India"/>
    <x v="1"/>
  </r>
  <r>
    <d v="2026-08-07T00:00:00"/>
    <s v="XYZ Luxury"/>
    <s v="Growify_Performance Max_Listing_IND"/>
    <s v="ENABLED"/>
    <n v="680.06133899999998"/>
    <n v="182"/>
    <n v="8791"/>
    <n v="3.7366009999999998"/>
    <n v="2.0702999999999999E-2"/>
    <n v="77.358815000000007"/>
    <n v="0"/>
    <n v="0"/>
    <s v="India"/>
    <s v="India"/>
    <x v="1"/>
  </r>
  <r>
    <d v="2026-09-07T00:00:00"/>
    <s v="XYZ Luxury"/>
    <s v="Growify_Performance Max_Listing_IND"/>
    <s v="ENABLED"/>
    <n v="1002.655829"/>
    <n v="312"/>
    <n v="15001"/>
    <n v="3.2136399999999998"/>
    <n v="2.0799000000000002E-2"/>
    <n v="66.839265999999995"/>
    <n v="1"/>
    <n v="11750"/>
    <s v="India"/>
    <s v="India"/>
    <x v="1"/>
  </r>
  <r>
    <d v="2026-10-07T00:00:00"/>
    <s v="XYZ Luxury"/>
    <s v="Growify_Performance Max_Listing_IND"/>
    <s v="ENABLED"/>
    <n v="1308.370617"/>
    <n v="382"/>
    <n v="17828"/>
    <n v="3.4250539999999998"/>
    <n v="2.1427000000000002E-2"/>
    <n v="73.388525000000001"/>
    <n v="0"/>
    <n v="0"/>
    <s v="India"/>
    <s v="India"/>
    <x v="1"/>
  </r>
  <r>
    <d v="2026-11-07T00:00:00"/>
    <s v="XYZ Luxury"/>
    <s v="Growify_Performance Max_Listing_IND"/>
    <s v="ENABLED"/>
    <n v="1233.655943"/>
    <n v="542"/>
    <n v="23129"/>
    <n v="2.2761179999999999"/>
    <n v="2.3434E-2"/>
    <n v="53.338057999999997"/>
    <n v="0"/>
    <n v="0"/>
    <s v="India"/>
    <s v="India"/>
    <x v="1"/>
  </r>
  <r>
    <d v="2026-12-07T00:00:00"/>
    <s v="XYZ Luxury"/>
    <s v="Growify_Performance Max_Listing_IND"/>
    <s v="ENABLED"/>
    <n v="1026.0304940000001"/>
    <n v="566"/>
    <n v="22655"/>
    <n v="1.812775"/>
    <n v="2.4983000000000002E-2"/>
    <n v="45.289361999999997"/>
    <n v="0"/>
    <n v="0"/>
    <s v="India"/>
    <s v="India"/>
    <x v="1"/>
  </r>
  <r>
    <s v="13-07-2026"/>
    <s v="XYZ Luxury"/>
    <s v="Growify_Performance Max_Listing_IND"/>
    <s v="ENABLED"/>
    <n v="862.48033899999996"/>
    <n v="341"/>
    <n v="14227"/>
    <n v="2.5292680000000001"/>
    <n v="2.3969000000000001E-2"/>
    <n v="60.622782999999998"/>
    <n v="0"/>
    <n v="0"/>
    <s v="India"/>
    <s v="India"/>
    <x v="1"/>
  </r>
  <r>
    <s v="14-07-2026"/>
    <s v="XYZ Luxury"/>
    <s v="Growify_Performance Max_Listing_IND"/>
    <s v="ENABLED"/>
    <n v="435.96061600000002"/>
    <n v="188"/>
    <n v="9480"/>
    <n v="2.3189389999999999"/>
    <n v="1.9831000000000001E-2"/>
    <n v="45.987406999999997"/>
    <n v="0"/>
    <n v="0"/>
    <s v="India"/>
    <s v="India"/>
    <x v="1"/>
  </r>
  <r>
    <s v="15-07-2026"/>
    <s v="XYZ Luxury"/>
    <s v="Growify_Performance Max_Listing_IND"/>
    <s v="ENABLED"/>
    <n v="1470.622629"/>
    <n v="342"/>
    <n v="16714"/>
    <n v="4.3000660000000002"/>
    <n v="2.0462000000000001E-2"/>
    <n v="87.987472999999994"/>
    <n v="3"/>
    <n v="17820"/>
    <s v="India"/>
    <s v="India"/>
    <x v="1"/>
  </r>
  <r>
    <s v="16-07-2026"/>
    <s v="XYZ Luxury"/>
    <s v="Growify_Performance Max_Listing_IND"/>
    <s v="ENABLED"/>
    <n v="1106.0121469999999"/>
    <n v="302"/>
    <n v="15044"/>
    <n v="3.6622919999999999"/>
    <n v="2.0074000000000002E-2"/>
    <n v="73.518489000000002"/>
    <n v="0.32"/>
    <n v="2878.953"/>
    <s v="India"/>
    <s v="India"/>
    <x v="1"/>
  </r>
  <r>
    <s v="17-07-2026"/>
    <s v="XYZ Luxury"/>
    <s v="Growify_Performance Max_Listing_IND"/>
    <s v="ENABLED"/>
    <n v="725.283457"/>
    <n v="176"/>
    <n v="8472"/>
    <n v="4.1209290000000003"/>
    <n v="2.0774000000000001E-2"/>
    <n v="85.609472999999994"/>
    <n v="0"/>
    <n v="0"/>
    <s v="India"/>
    <s v="India"/>
    <x v="1"/>
  </r>
  <r>
    <s v="18-07-2026"/>
    <s v="XYZ Luxury"/>
    <s v="Growify_Performance Max_Listing_IND"/>
    <s v="ENABLED"/>
    <n v="1187.664027"/>
    <n v="483"/>
    <n v="19082"/>
    <n v="2.4589319999999999"/>
    <n v="2.5312000000000001E-2"/>
    <n v="62.240017999999999"/>
    <n v="0"/>
    <n v="0"/>
    <s v="India"/>
    <s v="India"/>
    <x v="1"/>
  </r>
  <r>
    <s v="19-07-2026"/>
    <s v="XYZ Luxury"/>
    <s v="Growify_Performance Max_Listing_IND"/>
    <s v="ENABLED"/>
    <n v="850.85300400000006"/>
    <n v="125"/>
    <n v="4585"/>
    <n v="6.8068239999999998"/>
    <n v="2.7262999999999999E-2"/>
    <n v="185.57317399999999"/>
    <n v="0"/>
    <n v="0"/>
    <s v="India"/>
    <s v="India"/>
    <x v="1"/>
  </r>
  <r>
    <s v="20-07-2026"/>
    <s v="XYZ Luxury"/>
    <s v="Growify_Performance Max_Listing_IND"/>
    <s v="ENABLED"/>
    <n v="228.374202"/>
    <n v="181"/>
    <n v="7566"/>
    <n v="1.261736"/>
    <n v="2.3923E-2"/>
    <n v="30.184272"/>
    <n v="0"/>
    <n v="0"/>
    <s v="India"/>
    <s v="India"/>
    <x v="1"/>
  </r>
  <r>
    <s v="21-07-2026"/>
    <s v="XYZ Luxury"/>
    <s v="Growify_Performance Max_Listing_IND"/>
    <s v="ENABLED"/>
    <n v="243.915773"/>
    <n v="105"/>
    <n v="4705"/>
    <n v="2.323007"/>
    <n v="2.2317E-2"/>
    <n v="51.841822000000001"/>
    <n v="0"/>
    <n v="0"/>
    <s v="India"/>
    <s v="India"/>
    <x v="1"/>
  </r>
  <r>
    <s v="22-07-2026"/>
    <s v="XYZ Luxury"/>
    <s v="Growify_Performance Max_Listing_IND"/>
    <s v="ENABLED"/>
    <n v="752.58324900000002"/>
    <n v="307"/>
    <n v="13376"/>
    <n v="2.4514109999999998"/>
    <n v="2.2952E-2"/>
    <n v="56.2637"/>
    <n v="0"/>
    <n v="0"/>
    <s v="India"/>
    <s v="India"/>
    <x v="1"/>
  </r>
  <r>
    <s v="23-07-2026"/>
    <s v="XYZ Luxury"/>
    <s v="Growify_Performance Max_Listing_IND"/>
    <s v="ENABLED"/>
    <n v="832.19158800000002"/>
    <n v="305"/>
    <n v="14143"/>
    <n v="2.728497"/>
    <n v="2.1565000000000001E-2"/>
    <n v="58.841234999999998"/>
    <n v="0"/>
    <n v="0"/>
    <s v="India"/>
    <s v="India"/>
    <x v="1"/>
  </r>
  <r>
    <s v="24-07-2026"/>
    <s v="XYZ Luxury"/>
    <s v="Growify_Performance Max_Listing_IND"/>
    <s v="ENABLED"/>
    <n v="516.51871800000004"/>
    <n v="122"/>
    <n v="5044"/>
    <n v="4.2337600000000002"/>
    <n v="2.4187E-2"/>
    <n v="102.402601"/>
    <n v="0"/>
    <n v="0"/>
    <s v="India"/>
    <s v="India"/>
    <x v="1"/>
  </r>
  <r>
    <s v="25-07-2026"/>
    <s v="XYZ Luxury"/>
    <s v="Growify_Performance Max_Listing_IND"/>
    <s v="ENABLED"/>
    <n v="356.935856"/>
    <n v="106"/>
    <n v="5034"/>
    <n v="3.3673190000000002"/>
    <n v="2.1056999999999999E-2"/>
    <n v="70.905017000000001"/>
    <n v="0"/>
    <n v="0"/>
    <s v="India"/>
    <s v="India"/>
    <x v="1"/>
  </r>
  <r>
    <s v="26-07-2026"/>
    <s v="XYZ Luxury"/>
    <s v="Growify_Performance Max_Listing_IND"/>
    <s v="ENABLED"/>
    <n v="346.98379199999999"/>
    <n v="168"/>
    <n v="7377"/>
    <n v="2.0653800000000002"/>
    <n v="2.2773000000000002E-2"/>
    <n v="47.035893999999999"/>
    <n v="0"/>
    <n v="0"/>
    <s v="India"/>
    <s v="India"/>
    <x v="1"/>
  </r>
  <r>
    <s v="27-07-2026"/>
    <s v="XYZ Luxury"/>
    <s v="Growify_Performance Max_Listing_IND"/>
    <s v="ENABLED"/>
    <n v="677.51603299999999"/>
    <n v="261"/>
    <n v="10791"/>
    <n v="2.595847"/>
    <n v="2.4187E-2"/>
    <n v="62.785286999999997"/>
    <n v="1"/>
    <n v="4999"/>
    <s v="India"/>
    <s v="India"/>
    <x v="1"/>
  </r>
  <r>
    <s v="28-07-2026"/>
    <s v="XYZ Luxury"/>
    <s v="Growify_Performance Max_Listing_IND"/>
    <s v="ENABLED"/>
    <n v="441.18114800000001"/>
    <n v="180"/>
    <n v="8220"/>
    <n v="2.451006"/>
    <n v="2.1898000000000001E-2"/>
    <n v="53.671672999999998"/>
    <n v="0"/>
    <n v="0"/>
    <s v="India"/>
    <s v="India"/>
    <x v="1"/>
  </r>
  <r>
    <s v="29-07-2026"/>
    <s v="XYZ Luxury"/>
    <s v="Growify_Performance Max_Listing_IND"/>
    <s v="ENABLED"/>
    <n v="506.81829800000003"/>
    <n v="122"/>
    <n v="6504"/>
    <n v="4.1542479999999999"/>
    <n v="1.8758E-2"/>
    <n v="77.924092999999999"/>
    <n v="0.02"/>
    <n v="77.715000000000003"/>
    <s v="India"/>
    <s v="India"/>
    <x v="1"/>
  </r>
  <r>
    <s v="30-07-2026"/>
    <s v="XYZ Luxury"/>
    <s v="Growify_Performance Max_Listing_IND"/>
    <s v="ENABLED"/>
    <n v="459.93988200000001"/>
    <n v="99"/>
    <n v="3775"/>
    <n v="4.6458570000000003"/>
    <n v="2.6224999999999998E-2"/>
    <n v="121.838379"/>
    <n v="0.02"/>
    <n v="116.58750000000001"/>
    <s v="India"/>
    <s v="India"/>
    <x v="1"/>
  </r>
  <r>
    <d v="2026-01-07T00:00:00"/>
    <s v="XYZ Luxury"/>
    <s v="Growify_XYZ LuxuryP_Search_INT-5/21/26"/>
    <s v="ENABLED"/>
    <n v="20.100000000000001"/>
    <n v="1"/>
    <n v="2"/>
    <n v="20.100000000000001"/>
    <n v="0.5"/>
    <n v="10050"/>
    <n v="0"/>
    <n v="0"/>
    <s v="Rest of the World"/>
    <s v="United Kingdom"/>
    <x v="4"/>
  </r>
  <r>
    <d v="2026-04-07T00:00:00"/>
    <s v="XYZ Luxury"/>
    <s v="Growify_XYZ LuxuryP_Search_INT-5/21/26"/>
    <s v="ENABLED"/>
    <n v="219.95"/>
    <n v="3"/>
    <n v="6"/>
    <n v="73.316666999999995"/>
    <n v="0.5"/>
    <n v="36658.333330000001"/>
    <n v="0"/>
    <n v="0"/>
    <s v="Rest of the World"/>
    <s v="United Kingdom"/>
    <x v="4"/>
  </r>
  <r>
    <d v="2026-05-07T00:00:00"/>
    <s v="XYZ Luxury"/>
    <s v="Growify_XYZ LuxuryP_Search_INT-5/21/26"/>
    <s v="ENABLED"/>
    <n v="43.23"/>
    <n v="1"/>
    <n v="4"/>
    <n v="43.23"/>
    <n v="0.25"/>
    <n v="10807.5"/>
    <n v="0"/>
    <n v="0"/>
    <s v="Rest of the World"/>
    <s v="United Kingdom"/>
    <x v="4"/>
  </r>
  <r>
    <d v="2026-06-07T00:00:00"/>
    <s v="XYZ Luxury"/>
    <s v="Growify_XYZ LuxuryP_Search_INT-5/21/26"/>
    <s v="ENABLED"/>
    <n v="36.950000000000003"/>
    <n v="4"/>
    <n v="12"/>
    <n v="9.2375000000000007"/>
    <n v="0.33333299999999999"/>
    <n v="3079.166667"/>
    <n v="1"/>
    <n v="12931.6"/>
    <s v="Rest of the World"/>
    <s v="United Kingdom"/>
    <x v="4"/>
  </r>
  <r>
    <d v="2026-07-07T00:00:00"/>
    <s v="XYZ Luxury"/>
    <s v="Growify_XYZ LuxuryP_Search_INT-5/21/26"/>
    <s v="ENABLED"/>
    <n v="22.92"/>
    <n v="4"/>
    <n v="6"/>
    <n v="5.73"/>
    <n v="0.66666700000000001"/>
    <n v="3820"/>
    <n v="0"/>
    <n v="0"/>
    <s v="Rest of the World"/>
    <s v="United Kingdom"/>
    <x v="4"/>
  </r>
  <r>
    <d v="2026-08-07T00:00:00"/>
    <s v="XYZ Luxury"/>
    <s v="Growify_XYZ LuxuryP_Search_INT-5/21/26"/>
    <s v="ENABLED"/>
    <n v="1.28"/>
    <n v="1"/>
    <n v="4"/>
    <n v="1.28"/>
    <n v="0.25"/>
    <n v="320"/>
    <n v="0"/>
    <n v="0"/>
    <s v="Rest of the World"/>
    <s v="United Kingdom"/>
    <x v="4"/>
  </r>
  <r>
    <d v="2026-09-07T00:00:00"/>
    <s v="XYZ Luxury"/>
    <s v="Growify_XYZ LuxuryP_Search_INT-5/21/26"/>
    <s v="ENABLED"/>
    <n v="261.83"/>
    <n v="2"/>
    <n v="6"/>
    <n v="130.91499999999999"/>
    <n v="0.33333299999999999"/>
    <n v="43638.333330000001"/>
    <n v="0"/>
    <n v="0"/>
    <s v="Rest of the World"/>
    <s v="United Kingdom"/>
    <x v="4"/>
  </r>
  <r>
    <d v="2026-10-07T00:00:00"/>
    <s v="XYZ Luxury"/>
    <s v="Growify_XYZ LuxuryP_Search_INT-5/21/26"/>
    <s v="ENABLED"/>
    <n v="145.85"/>
    <n v="7"/>
    <n v="20"/>
    <n v="20.835713999999999"/>
    <n v="0.35"/>
    <n v="7292.5"/>
    <n v="0"/>
    <n v="0"/>
    <s v="Rest of the World"/>
    <s v="United Kingdom"/>
    <x v="4"/>
  </r>
  <r>
    <d v="2026-11-07T00:00:00"/>
    <s v="XYZ Luxury"/>
    <s v="Growify_XYZ LuxuryP_Search_INT-5/21/26"/>
    <s v="ENABLED"/>
    <n v="43.46"/>
    <n v="3"/>
    <n v="10"/>
    <n v="14.486667000000001"/>
    <n v="0.3"/>
    <n v="4346"/>
    <n v="0"/>
    <n v="0"/>
    <s v="Rest of the World"/>
    <s v="United Kingdom"/>
    <x v="4"/>
  </r>
  <r>
    <d v="2026-12-07T00:00:00"/>
    <s v="XYZ Luxury"/>
    <s v="Growify_XYZ LuxuryP_Search_INT-5/21/26"/>
    <s v="ENABLED"/>
    <n v="2.56"/>
    <n v="2"/>
    <n v="4"/>
    <n v="1.28"/>
    <n v="0.5"/>
    <n v="640"/>
    <n v="0"/>
    <n v="0"/>
    <s v="Rest of the World"/>
    <s v="United Kingdom"/>
    <x v="4"/>
  </r>
  <r>
    <s v="13-07-2026"/>
    <s v="XYZ Luxury"/>
    <s v="Growify_XYZ LuxuryP_Search_INT-5/21/26"/>
    <s v="ENABLED"/>
    <n v="199.390862"/>
    <n v="5"/>
    <n v="10"/>
    <n v="39.878171999999999"/>
    <n v="0.5"/>
    <n v="19939.086200000002"/>
    <n v="0"/>
    <n v="0"/>
    <s v="Rest of the World"/>
    <s v="United Kingdom"/>
    <x v="4"/>
  </r>
  <r>
    <s v="14-07-2026"/>
    <s v="XYZ Luxury"/>
    <s v="Growify_XYZ LuxuryP_Search_INT-5/21/26"/>
    <s v="ENABLED"/>
    <n v="340.08700800000003"/>
    <n v="5"/>
    <n v="18"/>
    <n v="68.017402000000004"/>
    <n v="0.27777800000000002"/>
    <n v="18893.722669999999"/>
    <n v="0"/>
    <n v="0"/>
    <s v="Rest of the World"/>
    <s v="United Kingdom"/>
    <x v="4"/>
  </r>
  <r>
    <s v="15-07-2026"/>
    <s v="XYZ Luxury"/>
    <s v="Growify_XYZ LuxuryP_Search_INT-5/21/26"/>
    <s v="ENABLED"/>
    <n v="9.06"/>
    <n v="7"/>
    <n v="17"/>
    <n v="1.294286"/>
    <n v="0.41176499999999999"/>
    <n v="532.94117600000004"/>
    <n v="0"/>
    <n v="0"/>
    <s v="Rest of the World"/>
    <s v="United Kingdom"/>
    <x v="4"/>
  </r>
  <r>
    <s v="16-07-2026"/>
    <s v="XYZ Luxury"/>
    <s v="Growify_XYZ LuxuryP_Search_INT-5/21/26"/>
    <s v="ENABLED"/>
    <n v="57.28"/>
    <n v="2"/>
    <n v="9"/>
    <n v="28.64"/>
    <n v="0.222222"/>
    <n v="6364.4444439999997"/>
    <n v="0"/>
    <n v="0"/>
    <s v="Rest of the World"/>
    <s v="United Kingdom"/>
    <x v="4"/>
  </r>
  <r>
    <s v="17-07-2026"/>
    <s v="XYZ Luxury"/>
    <s v="Growify_XYZ LuxuryP_Search_INT-5/21/26"/>
    <s v="ENABLED"/>
    <n v="322.45999999999998"/>
    <n v="6"/>
    <n v="19"/>
    <n v="53.743333"/>
    <n v="0.31578899999999999"/>
    <n v="16971.578949999999"/>
    <n v="0"/>
    <n v="0"/>
    <s v="Rest of the World"/>
    <s v="United Kingdom"/>
    <x v="4"/>
  </r>
  <r>
    <s v="18-07-2026"/>
    <s v="XYZ Luxury"/>
    <s v="Growify_XYZ LuxuryP_Search_INT-5/21/26"/>
    <s v="ENABLED"/>
    <n v="79.598557"/>
    <n v="6"/>
    <n v="21"/>
    <n v="13.266425999999999"/>
    <n v="0.28571400000000002"/>
    <n v="3790.4074759999999"/>
    <n v="0"/>
    <n v="0"/>
    <s v="Rest of the World"/>
    <s v="United Kingdom"/>
    <x v="4"/>
  </r>
  <r>
    <s v="19-07-2026"/>
    <s v="XYZ Luxury"/>
    <s v="Growify_XYZ LuxuryP_Search_INT-5/21/26"/>
    <s v="ENABLED"/>
    <n v="50.53"/>
    <n v="4"/>
    <n v="10"/>
    <n v="12.6325"/>
    <n v="0.4"/>
    <n v="5053"/>
    <n v="0"/>
    <n v="0"/>
    <s v="Rest of the World"/>
    <s v="United Kingdom"/>
    <x v="4"/>
  </r>
  <r>
    <s v="20-07-2026"/>
    <s v="XYZ Luxury"/>
    <s v="Growify_XYZ LuxuryP_Search_INT-5/21/26"/>
    <s v="ENABLED"/>
    <n v="348.54"/>
    <n v="3"/>
    <n v="18"/>
    <n v="116.18"/>
    <n v="0.16666700000000001"/>
    <n v="19363.333330000001"/>
    <n v="0"/>
    <n v="0"/>
    <s v="Rest of the World"/>
    <s v="United Kingdom"/>
    <x v="4"/>
  </r>
  <r>
    <s v="22-07-2026"/>
    <s v="XYZ Luxury"/>
    <s v="Growify_XYZ LuxuryP_Search_INT-5/21/26"/>
    <s v="ENABLED"/>
    <n v="91.449838999999997"/>
    <n v="5"/>
    <n v="9"/>
    <n v="18.289967999999998"/>
    <n v="0.55555600000000005"/>
    <n v="10161.093220000001"/>
    <n v="0"/>
    <n v="0"/>
    <s v="Rest of the World"/>
    <s v="United Kingdom"/>
    <x v="4"/>
  </r>
  <r>
    <s v="23-07-2026"/>
    <s v="XYZ Luxury"/>
    <s v="Growify_XYZ LuxuryP_Search_INT-5/21/26"/>
    <s v="ENABLED"/>
    <n v="12.840979000000001"/>
    <n v="3"/>
    <n v="5"/>
    <n v="4.2803259999999996"/>
    <n v="0.6"/>
    <n v="2568.1958"/>
    <n v="0"/>
    <n v="0"/>
    <s v="Rest of the World"/>
    <s v="United Kingdom"/>
    <x v="4"/>
  </r>
  <r>
    <s v="24-07-2026"/>
    <s v="XYZ Luxury"/>
    <s v="Growify_XYZ LuxuryP_Search_INT-5/21/26"/>
    <s v="ENABLED"/>
    <n v="15.43"/>
    <n v="3"/>
    <n v="5"/>
    <n v="5.1433330000000002"/>
    <n v="0.6"/>
    <n v="3086"/>
    <n v="0"/>
    <n v="0"/>
    <s v="Rest of the World"/>
    <s v="United Kingdom"/>
    <x v="4"/>
  </r>
  <r>
    <s v="25-07-2026"/>
    <s v="XYZ Luxury"/>
    <s v="Growify_XYZ LuxuryP_Search_INT-5/21/26"/>
    <s v="ENABLED"/>
    <n v="29.28548"/>
    <n v="6"/>
    <n v="10"/>
    <n v="4.8809129999999996"/>
    <n v="0.6"/>
    <n v="2928.5479999999998"/>
    <n v="0"/>
    <n v="0"/>
    <s v="Rest of the World"/>
    <s v="United Kingdom"/>
    <x v="4"/>
  </r>
  <r>
    <s v="26-07-2026"/>
    <s v="XYZ Luxury"/>
    <s v="Growify_XYZ LuxuryP_Search_INT-5/21/26"/>
    <s v="ENABLED"/>
    <n v="66.093012999999999"/>
    <n v="7"/>
    <n v="12"/>
    <n v="9.4418589999999991"/>
    <n v="0.58333299999999999"/>
    <n v="5507.7510830000001"/>
    <n v="0"/>
    <n v="0"/>
    <s v="Rest of the World"/>
    <s v="United Kingdom"/>
    <x v="4"/>
  </r>
  <r>
    <s v="27-07-2026"/>
    <s v="XYZ Luxury"/>
    <s v="Growify_XYZ LuxuryP_Search_INT-5/21/26"/>
    <s v="ENABLED"/>
    <n v="35.99"/>
    <n v="3"/>
    <n v="5"/>
    <n v="11.996667"/>
    <n v="0.6"/>
    <n v="7198"/>
    <n v="0"/>
    <n v="0"/>
    <s v="Rest of the World"/>
    <s v="United Kingdom"/>
    <x v="4"/>
  </r>
  <r>
    <s v="28-07-2026"/>
    <s v="XYZ Luxury"/>
    <s v="Growify_XYZ LuxuryP_Search_INT-5/21/26"/>
    <s v="ENABLED"/>
    <n v="11.47"/>
    <n v="3"/>
    <n v="6"/>
    <n v="3.8233329999999999"/>
    <n v="0.5"/>
    <n v="1911.666667"/>
    <n v="0"/>
    <n v="0"/>
    <s v="Rest of the World"/>
    <s v="United Kingdom"/>
    <x v="4"/>
  </r>
  <r>
    <s v="29-07-2026"/>
    <s v="XYZ Luxury"/>
    <s v="Growify_XYZ LuxuryP_Search_INT-5/21/26"/>
    <s v="ENABLED"/>
    <n v="45.090318000000003"/>
    <n v="5"/>
    <n v="14"/>
    <n v="9.0180640000000007"/>
    <n v="0.35714299999999999"/>
    <n v="3220.7370000000001"/>
    <n v="0"/>
    <n v="0"/>
    <s v="Rest of the World"/>
    <s v="United Kingdom"/>
    <x v="4"/>
  </r>
  <r>
    <s v="30-07-2026"/>
    <s v="XYZ Luxury"/>
    <s v="Growify_XYZ LuxuryP_Search_INT-5/21/26"/>
    <s v="ENABLED"/>
    <n v="2.56"/>
    <n v="1"/>
    <n v="2"/>
    <n v="2.56"/>
    <n v="0.5"/>
    <n v="1280"/>
    <n v="0"/>
    <n v="0"/>
    <s v="Rest of the World"/>
    <s v="United Kingdom"/>
    <x v="4"/>
  </r>
  <r>
    <d v="2026-01-07T00:00:00"/>
    <s v="XYZ Luxury"/>
    <s v="Growify_Performance Max_Listing_INTL"/>
    <s v="ENABLED"/>
    <n v="176.99"/>
    <n v="8"/>
    <n v="593"/>
    <n v="22.123750000000001"/>
    <n v="1.3491E-2"/>
    <n v="298.46543000000003"/>
    <n v="0"/>
    <n v="0"/>
    <s v="Rest of the World"/>
    <s v="United Kingdom"/>
    <x v="4"/>
  </r>
  <r>
    <d v="2026-04-07T00:00:00"/>
    <s v="XYZ Luxury"/>
    <s v="Growify_Performance Max_Listing_INTL"/>
    <s v="ENABLED"/>
    <n v="97.17"/>
    <n v="4"/>
    <n v="781"/>
    <n v="24.2925"/>
    <n v="5.1219999999999998E-3"/>
    <n v="124.41741399999999"/>
    <n v="0"/>
    <n v="0"/>
    <s v="Rest of the World"/>
    <s v="United Kingdom"/>
    <x v="4"/>
  </r>
  <r>
    <d v="2026-05-07T00:00:00"/>
    <s v="XYZ Luxury"/>
    <s v="Growify_Performance Max_Listing_INTL"/>
    <s v="ENABLED"/>
    <n v="28.97"/>
    <n v="2"/>
    <n v="560"/>
    <n v="14.484999999999999"/>
    <n v="3.571E-3"/>
    <n v="51.732143000000001"/>
    <n v="0"/>
    <n v="0"/>
    <s v="Rest of the World"/>
    <s v="United Kingdom"/>
    <x v="4"/>
  </r>
  <r>
    <d v="2026-06-07T00:00:00"/>
    <s v="XYZ Luxury"/>
    <s v="Growify_Performance Max_Listing_INTL"/>
    <s v="ENABLED"/>
    <n v="113.59"/>
    <n v="5"/>
    <n v="292"/>
    <n v="22.718"/>
    <n v="1.7122999999999999E-2"/>
    <n v="389.00684899999999"/>
    <n v="0"/>
    <n v="0"/>
    <s v="Rest of the World"/>
    <s v="United Kingdom"/>
    <x v="4"/>
  </r>
  <r>
    <d v="2026-07-07T00:00:00"/>
    <s v="XYZ Luxury"/>
    <s v="Growify_Performance Max_Listing_INTL"/>
    <s v="ENABLED"/>
    <n v="10.029999999999999"/>
    <n v="1"/>
    <n v="105"/>
    <n v="10.029999999999999"/>
    <n v="9.5239999999999995E-3"/>
    <n v="95.523809999999997"/>
    <n v="0"/>
    <n v="0"/>
    <s v="Rest of the World"/>
    <s v="United Kingdom"/>
    <x v="4"/>
  </r>
  <r>
    <d v="2026-08-07T00:00:00"/>
    <s v="XYZ Luxury"/>
    <s v="Growify_Performance Max_Listing_INTL"/>
    <s v="ENABLED"/>
    <n v="12.32"/>
    <n v="2"/>
    <n v="67"/>
    <n v="6.16"/>
    <n v="2.9850999999999999E-2"/>
    <n v="183.88059699999999"/>
    <n v="0"/>
    <n v="0"/>
    <s v="Rest of the World"/>
    <s v="United Kingdom"/>
    <x v="4"/>
  </r>
  <r>
    <d v="2026-09-07T00:00:00"/>
    <s v="XYZ Luxury"/>
    <s v="Growify_Performance Max_Listing_INTL"/>
    <s v="ENABLED"/>
    <n v="39.89"/>
    <n v="3"/>
    <n v="225"/>
    <n v="13.296666999999999"/>
    <n v="1.3332999999999999E-2"/>
    <n v="177.28888900000001"/>
    <n v="0"/>
    <n v="0"/>
    <s v="Rest of the World"/>
    <s v="United Kingdom"/>
    <x v="4"/>
  </r>
  <r>
    <d v="2026-10-07T00:00:00"/>
    <s v="XYZ Luxury"/>
    <s v="Growify_Performance Max_Listing_INTL"/>
    <s v="ENABLED"/>
    <n v="104.91"/>
    <n v="4"/>
    <n v="231"/>
    <n v="26.227499999999999"/>
    <n v="1.7316000000000002E-2"/>
    <n v="454.155844"/>
    <n v="0"/>
    <n v="0"/>
    <s v="Rest of the World"/>
    <s v="United Kingdom"/>
    <x v="4"/>
  </r>
  <r>
    <d v="2026-11-07T00:00:00"/>
    <s v="XYZ Luxury"/>
    <s v="Growify_Performance Max_Listing_INTL"/>
    <s v="ENABLED"/>
    <n v="24.88"/>
    <n v="2"/>
    <n v="301"/>
    <n v="12.44"/>
    <n v="6.6449999999999999E-3"/>
    <n v="82.657807000000005"/>
    <n v="0"/>
    <n v="0"/>
    <s v="Rest of the World"/>
    <s v="United Kingdom"/>
    <x v="4"/>
  </r>
  <r>
    <s v="14-07-2026"/>
    <s v="XYZ Luxury"/>
    <s v="Growify_Performance Max_Listing_INTL"/>
    <s v="ENABLED"/>
    <n v="46.61"/>
    <n v="2"/>
    <n v="156"/>
    <n v="23.305"/>
    <n v="1.2821000000000001E-2"/>
    <n v="298.78205100000002"/>
    <n v="0"/>
    <n v="0"/>
    <s v="Rest of the World"/>
    <s v="United Kingdom"/>
    <x v="4"/>
  </r>
  <r>
    <s v="15-07-2026"/>
    <s v="XYZ Luxury"/>
    <s v="Growify_Performance Max_Listing_INTL"/>
    <s v="ENABLED"/>
    <n v="86.273572999999999"/>
    <n v="2"/>
    <n v="389"/>
    <n v="43.136786999999998"/>
    <n v="5.1409999999999997E-3"/>
    <n v="221.78296399999999"/>
    <n v="0"/>
    <n v="0"/>
    <s v="Rest of the World"/>
    <s v="United Kingdom"/>
    <x v="4"/>
  </r>
  <r>
    <s v="16-07-2026"/>
    <s v="XYZ Luxury"/>
    <s v="Growify_Performance Max_Listing_INTL"/>
    <s v="ENABLED"/>
    <n v="48.161259000000001"/>
    <n v="4"/>
    <n v="273"/>
    <n v="12.040315"/>
    <n v="1.4652E-2"/>
    <n v="176.41486800000001"/>
    <n v="0"/>
    <n v="0"/>
    <s v="Rest of the World"/>
    <s v="United Kingdom"/>
    <x v="4"/>
  </r>
  <r>
    <s v="17-07-2026"/>
    <s v="XYZ Luxury"/>
    <s v="Growify_Performance Max_Listing_INTL"/>
    <s v="ENABLED"/>
    <n v="103.52"/>
    <n v="7"/>
    <n v="378"/>
    <n v="14.788570999999999"/>
    <n v="1.8519000000000001E-2"/>
    <n v="273.86243400000001"/>
    <n v="0"/>
    <n v="0"/>
    <s v="Rest of the World"/>
    <s v="United Kingdom"/>
    <x v="4"/>
  </r>
  <r>
    <s v="18-07-2026"/>
    <s v="XYZ Luxury"/>
    <s v="Growify_Performance Max_Listing_INTL"/>
    <s v="ENABLED"/>
    <n v="129.53602000000001"/>
    <n v="5"/>
    <n v="562"/>
    <n v="25.907204"/>
    <n v="8.8970000000000004E-3"/>
    <n v="230.491139"/>
    <n v="0"/>
    <n v="0"/>
    <s v="Rest of the World"/>
    <s v="United Kingdom"/>
    <x v="4"/>
  </r>
  <r>
    <s v="19-07-2026"/>
    <s v="XYZ Luxury"/>
    <s v="Growify_Performance Max_Listing_INTL"/>
    <s v="ENABLED"/>
    <n v="132.63"/>
    <n v="4"/>
    <n v="284"/>
    <n v="33.157499999999999"/>
    <n v="1.4085E-2"/>
    <n v="467.00704200000001"/>
    <n v="0"/>
    <n v="0"/>
    <s v="Rest of the World"/>
    <s v="United Kingdom"/>
    <x v="4"/>
  </r>
  <r>
    <s v="20-07-2026"/>
    <s v="XYZ Luxury"/>
    <s v="Growify_Performance Max_Listing_INTL"/>
    <s v="ENABLED"/>
    <n v="63.33"/>
    <n v="3"/>
    <n v="302"/>
    <n v="21.11"/>
    <n v="9.9340000000000001E-3"/>
    <n v="209.701987"/>
    <n v="0"/>
    <n v="0"/>
    <s v="Rest of the World"/>
    <s v="United Kingdom"/>
    <x v="4"/>
  </r>
  <r>
    <s v="21-07-2026"/>
    <s v="XYZ Luxury"/>
    <s v="Growify_Performance Max_Listing_INTL"/>
    <s v="ENABLED"/>
    <n v="25.55"/>
    <n v="1"/>
    <n v="30"/>
    <n v="25.55"/>
    <n v="3.3333000000000002E-2"/>
    <n v="851.66666699999996"/>
    <n v="0"/>
    <n v="0"/>
    <s v="Rest of the World"/>
    <s v="United Kingdom"/>
    <x v="4"/>
  </r>
  <r>
    <s v="22-07-2026"/>
    <s v="XYZ Luxury"/>
    <s v="Growify_Performance Max_Listing_INTL"/>
    <s v="ENABLED"/>
    <n v="48.32"/>
    <n v="4"/>
    <n v="163"/>
    <n v="12.08"/>
    <n v="2.4539999999999999E-2"/>
    <n v="296.44171799999998"/>
    <n v="0"/>
    <n v="0"/>
    <s v="Rest of the World"/>
    <s v="United Kingdom"/>
    <x v="4"/>
  </r>
  <r>
    <s v="23-07-2026"/>
    <s v="XYZ Luxury"/>
    <s v="Growify_Performance Max_Listing_INTL"/>
    <s v="ENABLED"/>
    <n v="21.02"/>
    <n v="2"/>
    <n v="242"/>
    <n v="10.51"/>
    <n v="8.2640000000000005E-3"/>
    <n v="86.859504000000001"/>
    <n v="0"/>
    <n v="0"/>
    <s v="Rest of the World"/>
    <s v="United Kingdom"/>
    <x v="4"/>
  </r>
  <r>
    <s v="24-07-2026"/>
    <s v="XYZ Luxury"/>
    <s v="Growify_Performance Max_Listing_INTL"/>
    <s v="ENABLED"/>
    <n v="56.77"/>
    <n v="3"/>
    <n v="423"/>
    <n v="18.923333"/>
    <n v="7.0920000000000002E-3"/>
    <n v="134.20803799999999"/>
    <n v="0"/>
    <n v="0"/>
    <s v="Rest of the World"/>
    <s v="United Kingdom"/>
    <x v="4"/>
  </r>
  <r>
    <s v="25-07-2026"/>
    <s v="XYZ Luxury"/>
    <s v="Growify_Performance Max_Listing_INTL"/>
    <s v="ENABLED"/>
    <n v="30.72"/>
    <n v="3"/>
    <n v="90"/>
    <n v="10.24"/>
    <n v="3.3333000000000002E-2"/>
    <n v="341.33333299999998"/>
    <n v="0"/>
    <n v="0"/>
    <s v="Rest of the World"/>
    <s v="United Kingdom"/>
    <x v="4"/>
  </r>
  <r>
    <s v="26-07-2026"/>
    <s v="XYZ Luxury"/>
    <s v="Growify_Performance Max_Listing_INTL"/>
    <s v="ENABLED"/>
    <n v="68.69"/>
    <n v="2"/>
    <n v="152"/>
    <n v="34.344999999999999"/>
    <n v="1.3158E-2"/>
    <n v="451.907895"/>
    <n v="0"/>
    <n v="0"/>
    <s v="Rest of the World"/>
    <s v="United Kingdom"/>
    <x v="4"/>
  </r>
  <r>
    <s v="27-07-2026"/>
    <s v="XYZ Luxury"/>
    <s v="Growify_Performance Max_Listing_INTL"/>
    <s v="ENABLED"/>
    <n v="38.74"/>
    <n v="6"/>
    <n v="192"/>
    <n v="6.4566670000000004"/>
    <n v="3.125E-2"/>
    <n v="201.77083300000001"/>
    <n v="0"/>
    <n v="0"/>
    <s v="Rest of the World"/>
    <s v="United Kingdom"/>
    <x v="4"/>
  </r>
  <r>
    <s v="28-07-2026"/>
    <s v="XYZ Luxury"/>
    <s v="Growify_Performance Max_Listing_INTL"/>
    <s v="ENABLED"/>
    <n v="123.22"/>
    <n v="4"/>
    <n v="220"/>
    <n v="30.805"/>
    <n v="1.8182E-2"/>
    <n v="560.09090900000001"/>
    <n v="0"/>
    <n v="0"/>
    <s v="Rest of the World"/>
    <s v="United Kingdom"/>
    <x v="4"/>
  </r>
  <r>
    <s v="30-07-2026"/>
    <s v="XYZ Luxury"/>
    <s v="Growify_Performance Max_Listing_INTL"/>
    <s v="ENABLED"/>
    <n v="50.65"/>
    <n v="3"/>
    <n v="138"/>
    <n v="16.883333"/>
    <n v="2.1739000000000001E-2"/>
    <n v="367.02898599999997"/>
    <n v="0"/>
    <n v="0"/>
    <s v="Rest of the World"/>
    <s v="United Kingdom"/>
    <x v="4"/>
  </r>
  <r>
    <d v="2026-01-07T00:00:00"/>
    <s v="XYZ Luxury"/>
    <s v="Growify_XYZ LuxuryP_Search_INT-5/21/26"/>
    <s v="ENABLED"/>
    <n v="441.97264699999999"/>
    <n v="15"/>
    <n v="33"/>
    <n v="29.464842999999998"/>
    <n v="0.45454499999999998"/>
    <n v="13393.11052"/>
    <n v="0"/>
    <n v="0"/>
    <s v="USA"/>
    <s v="United States"/>
    <x v="2"/>
  </r>
  <r>
    <d v="2026-04-07T00:00:00"/>
    <s v="XYZ Luxury"/>
    <s v="Growify_XYZ LuxuryP_Search_INT-5/21/26"/>
    <s v="ENABLED"/>
    <n v="4.403581"/>
    <n v="5"/>
    <n v="18"/>
    <n v="0.88071600000000005"/>
    <n v="0.27777800000000002"/>
    <n v="244.64338900000001"/>
    <n v="0"/>
    <n v="0"/>
    <s v="USA"/>
    <s v="United States"/>
    <x v="2"/>
  </r>
  <r>
    <d v="2026-05-07T00:00:00"/>
    <s v="XYZ Luxury"/>
    <s v="Growify_XYZ LuxuryP_Search_INT-5/21/26"/>
    <s v="ENABLED"/>
    <n v="58.14"/>
    <n v="8"/>
    <n v="20"/>
    <n v="7.2675000000000001"/>
    <n v="0.4"/>
    <n v="2907"/>
    <n v="0"/>
    <n v="0"/>
    <s v="USA"/>
    <s v="United States"/>
    <x v="2"/>
  </r>
  <r>
    <d v="2026-06-07T00:00:00"/>
    <s v="XYZ Luxury"/>
    <s v="Growify_XYZ LuxuryP_Search_INT-5/21/26"/>
    <s v="ENABLED"/>
    <n v="280.54000000000002"/>
    <n v="11"/>
    <n v="30"/>
    <n v="25.503636"/>
    <n v="0.36666700000000002"/>
    <n v="9351.3333330000005"/>
    <n v="0"/>
    <n v="0"/>
    <s v="USA"/>
    <s v="United States"/>
    <x v="2"/>
  </r>
  <r>
    <d v="2026-07-07T00:00:00"/>
    <s v="XYZ Luxury"/>
    <s v="Growify_XYZ LuxuryP_Search_INT-5/21/26"/>
    <s v="ENABLED"/>
    <n v="5.75"/>
    <n v="6"/>
    <n v="28"/>
    <n v="0.95833299999999999"/>
    <n v="0.214286"/>
    <n v="205.35714300000001"/>
    <n v="0"/>
    <n v="0"/>
    <s v="USA"/>
    <s v="United States"/>
    <x v="2"/>
  </r>
  <r>
    <d v="2026-08-07T00:00:00"/>
    <s v="XYZ Luxury"/>
    <s v="Growify_XYZ LuxuryP_Search_INT-5/21/26"/>
    <s v="ENABLED"/>
    <n v="136.78"/>
    <n v="7"/>
    <n v="29"/>
    <n v="19.54"/>
    <n v="0.24137900000000001"/>
    <n v="4716.5517239999999"/>
    <n v="0"/>
    <n v="0"/>
    <s v="USA"/>
    <s v="United States"/>
    <x v="2"/>
  </r>
  <r>
    <d v="2026-09-07T00:00:00"/>
    <s v="XYZ Luxury"/>
    <s v="Growify_XYZ LuxuryP_Search_INT-5/21/26"/>
    <s v="ENABLED"/>
    <n v="1119.4000000000001"/>
    <n v="3"/>
    <n v="6"/>
    <n v="373.13333299999999"/>
    <n v="0.5"/>
    <n v="186566.6667"/>
    <n v="0"/>
    <n v="0"/>
    <s v="USA"/>
    <s v="United States"/>
    <x v="2"/>
  </r>
  <r>
    <d v="2026-10-07T00:00:00"/>
    <s v="XYZ Luxury"/>
    <s v="Growify_XYZ LuxuryP_Search_INT-5/21/26"/>
    <s v="ENABLED"/>
    <n v="248"/>
    <n v="12"/>
    <n v="36"/>
    <n v="20.666667"/>
    <n v="0.33333299999999999"/>
    <n v="6888.8888889999998"/>
    <n v="0"/>
    <n v="0"/>
    <s v="USA"/>
    <s v="United States"/>
    <x v="2"/>
  </r>
  <r>
    <d v="2026-11-07T00:00:00"/>
    <s v="XYZ Luxury"/>
    <s v="Growify_XYZ LuxuryP_Search_INT-5/21/26"/>
    <s v="ENABLED"/>
    <n v="578.63"/>
    <n v="2"/>
    <n v="14"/>
    <n v="289.315"/>
    <n v="0.14285700000000001"/>
    <n v="41330.714290000004"/>
    <n v="0"/>
    <n v="0"/>
    <s v="USA"/>
    <s v="United States"/>
    <x v="2"/>
  </r>
  <r>
    <d v="2026-12-07T00:00:00"/>
    <s v="XYZ Luxury"/>
    <s v="Growify_XYZ LuxuryP_Search_INT-5/21/26"/>
    <s v="ENABLED"/>
    <n v="356.14187199999998"/>
    <n v="5"/>
    <n v="16"/>
    <n v="71.228374000000002"/>
    <n v="0.3125"/>
    <n v="22258.866999999998"/>
    <n v="0"/>
    <n v="0"/>
    <s v="USA"/>
    <s v="United States"/>
    <x v="2"/>
  </r>
  <r>
    <s v="13-07-2026"/>
    <s v="XYZ Luxury"/>
    <s v="Growify_XYZ LuxuryP_Search_INT-5/21/26"/>
    <s v="ENABLED"/>
    <n v="291.11"/>
    <n v="8"/>
    <n v="36"/>
    <n v="36.388750000000002"/>
    <n v="0.222222"/>
    <n v="8086.3888889999998"/>
    <n v="0"/>
    <n v="0"/>
    <s v="USA"/>
    <s v="United States"/>
    <x v="2"/>
  </r>
  <r>
    <s v="14-07-2026"/>
    <s v="XYZ Luxury"/>
    <s v="Growify_XYZ LuxuryP_Search_INT-5/21/26"/>
    <s v="ENABLED"/>
    <n v="782.56"/>
    <n v="9"/>
    <n v="22"/>
    <n v="86.951110999999997"/>
    <n v="0.40909099999999998"/>
    <n v="35570.909090000001"/>
    <n v="0"/>
    <n v="0"/>
    <s v="USA"/>
    <s v="United States"/>
    <x v="2"/>
  </r>
  <r>
    <s v="15-07-2026"/>
    <s v="XYZ Luxury"/>
    <s v="Growify_XYZ LuxuryP_Search_INT-5/21/26"/>
    <s v="ENABLED"/>
    <n v="232.96"/>
    <n v="7"/>
    <n v="19"/>
    <n v="33.28"/>
    <n v="0.368421"/>
    <n v="12261.05263"/>
    <n v="0"/>
    <n v="0"/>
    <s v="USA"/>
    <s v="United States"/>
    <x v="2"/>
  </r>
  <r>
    <s v="16-07-2026"/>
    <s v="XYZ Luxury"/>
    <s v="Growify_XYZ LuxuryP_Search_INT-5/21/26"/>
    <s v="ENABLED"/>
    <n v="427.38494800000001"/>
    <n v="8"/>
    <n v="25"/>
    <n v="53.423119"/>
    <n v="0.32"/>
    <n v="17095.397919999999"/>
    <n v="0"/>
    <n v="0"/>
    <s v="USA"/>
    <s v="United States"/>
    <x v="2"/>
  </r>
  <r>
    <s v="17-07-2026"/>
    <s v="XYZ Luxury"/>
    <s v="Growify_XYZ LuxuryP_Search_INT-5/21/26"/>
    <s v="ENABLED"/>
    <n v="278.37"/>
    <n v="9"/>
    <n v="29"/>
    <n v="30.93"/>
    <n v="0.31034499999999998"/>
    <n v="9598.9655170000005"/>
    <n v="0"/>
    <n v="0"/>
    <s v="USA"/>
    <s v="United States"/>
    <x v="2"/>
  </r>
  <r>
    <s v="18-07-2026"/>
    <s v="XYZ Luxury"/>
    <s v="Growify_XYZ LuxuryP_Search_INT-5/21/26"/>
    <s v="ENABLED"/>
    <n v="196.45"/>
    <n v="9"/>
    <n v="30"/>
    <n v="21.827777999999999"/>
    <n v="0.3"/>
    <n v="6548.3333329999996"/>
    <n v="0"/>
    <n v="0"/>
    <s v="USA"/>
    <s v="United States"/>
    <x v="2"/>
  </r>
  <r>
    <s v="19-07-2026"/>
    <s v="XYZ Luxury"/>
    <s v="Growify_XYZ LuxuryP_Search_INT-5/21/26"/>
    <s v="ENABLED"/>
    <n v="856.56291199999998"/>
    <n v="7"/>
    <n v="26"/>
    <n v="122.36613"/>
    <n v="0.269231"/>
    <n v="32944.72739"/>
    <n v="1"/>
    <n v="34770"/>
    <s v="USA"/>
    <s v="United States"/>
    <x v="2"/>
  </r>
  <r>
    <s v="20-07-2026"/>
    <s v="XYZ Luxury"/>
    <s v="Growify_XYZ LuxuryP_Search_INT-5/21/26"/>
    <s v="ENABLED"/>
    <n v="182.184315"/>
    <n v="7"/>
    <n v="26"/>
    <n v="26.026330999999999"/>
    <n v="0.269231"/>
    <n v="7007.0890380000001"/>
    <n v="0"/>
    <n v="0"/>
    <s v="USA"/>
    <s v="United States"/>
    <x v="2"/>
  </r>
  <r>
    <s v="21-07-2026"/>
    <s v="XYZ Luxury"/>
    <s v="Growify_XYZ LuxuryP_Search_INT-5/21/26"/>
    <s v="ENABLED"/>
    <n v="26.96"/>
    <n v="2"/>
    <n v="6"/>
    <n v="13.48"/>
    <n v="0.33333299999999999"/>
    <n v="4493.3333329999996"/>
    <n v="0"/>
    <n v="0"/>
    <s v="USA"/>
    <s v="United States"/>
    <x v="2"/>
  </r>
  <r>
    <s v="22-07-2026"/>
    <s v="XYZ Luxury"/>
    <s v="Growify_XYZ LuxuryP_Search_INT-5/21/26"/>
    <s v="ENABLED"/>
    <n v="11.776452000000001"/>
    <n v="8"/>
    <n v="22"/>
    <n v="1.4720569999999999"/>
    <n v="0.36363600000000001"/>
    <n v="535.293273"/>
    <n v="0"/>
    <n v="0"/>
    <s v="USA"/>
    <s v="United States"/>
    <x v="2"/>
  </r>
  <r>
    <s v="23-07-2026"/>
    <s v="XYZ Luxury"/>
    <s v="Growify_XYZ LuxuryP_Search_INT-5/21/26"/>
    <s v="ENABLED"/>
    <n v="9.8070339999999998"/>
    <n v="9"/>
    <n v="20"/>
    <n v="1.0896699999999999"/>
    <n v="0.45"/>
    <n v="490.35169999999999"/>
    <n v="1"/>
    <n v="4320"/>
    <s v="USA"/>
    <s v="United States"/>
    <x v="2"/>
  </r>
  <r>
    <s v="24-07-2026"/>
    <s v="XYZ Luxury"/>
    <s v="Growify_XYZ LuxuryP_Search_INT-5/21/26"/>
    <s v="ENABLED"/>
    <n v="5.82"/>
    <n v="6"/>
    <n v="12"/>
    <n v="0.97"/>
    <n v="0.5"/>
    <n v="485"/>
    <n v="1"/>
    <n v="4165.92"/>
    <s v="USA"/>
    <s v="United States"/>
    <x v="2"/>
  </r>
  <r>
    <s v="25-07-2026"/>
    <s v="XYZ Luxury"/>
    <s v="Growify_XYZ LuxuryP_Search_INT-5/21/26"/>
    <s v="ENABLED"/>
    <n v="273.33"/>
    <n v="10"/>
    <n v="18"/>
    <n v="27.332999999999998"/>
    <n v="0.55555600000000005"/>
    <n v="15185"/>
    <n v="0"/>
    <n v="0"/>
    <s v="USA"/>
    <s v="United States"/>
    <x v="2"/>
  </r>
  <r>
    <s v="26-07-2026"/>
    <s v="XYZ Luxury"/>
    <s v="Growify_XYZ LuxuryP_Search_INT-5/21/26"/>
    <s v="ENABLED"/>
    <n v="44.46"/>
    <n v="8"/>
    <n v="18"/>
    <n v="5.5575000000000001"/>
    <n v="0.44444400000000001"/>
    <n v="2470"/>
    <n v="0"/>
    <n v="0"/>
    <s v="USA"/>
    <s v="United States"/>
    <x v="2"/>
  </r>
  <r>
    <s v="27-07-2026"/>
    <s v="XYZ Luxury"/>
    <s v="Growify_XYZ LuxuryP_Search_INT-5/21/26"/>
    <s v="ENABLED"/>
    <n v="3.87"/>
    <n v="2"/>
    <n v="6"/>
    <n v="1.9350000000000001"/>
    <n v="0.33333299999999999"/>
    <n v="645"/>
    <n v="0"/>
    <n v="0"/>
    <s v="USA"/>
    <s v="United States"/>
    <x v="2"/>
  </r>
  <r>
    <s v="28-07-2026"/>
    <s v="XYZ Luxury"/>
    <s v="Growify_XYZ LuxuryP_Search_INT-5/21/26"/>
    <s v="ENABLED"/>
    <n v="3.84"/>
    <n v="2"/>
    <n v="12"/>
    <n v="1.92"/>
    <n v="0.16666700000000001"/>
    <n v="320"/>
    <n v="0"/>
    <n v="0"/>
    <s v="USA"/>
    <s v="United States"/>
    <x v="2"/>
  </r>
  <r>
    <s v="29-07-2026"/>
    <s v="XYZ Luxury"/>
    <s v="Growify_XYZ LuxuryP_Search_INT-5/21/26"/>
    <s v="ENABLED"/>
    <n v="3.84"/>
    <n v="4"/>
    <n v="12"/>
    <n v="0.96"/>
    <n v="0.33333299999999999"/>
    <n v="320"/>
    <n v="0"/>
    <n v="0"/>
    <s v="USA"/>
    <s v="United States"/>
    <x v="2"/>
  </r>
  <r>
    <d v="2026-01-07T00:00:00"/>
    <s v="XYZ Luxury"/>
    <s v="Growify_Performance Max_Listing_INTL"/>
    <s v="ENABLED"/>
    <n v="664.05"/>
    <n v="19"/>
    <n v="1468"/>
    <n v="34.950000000000003"/>
    <n v="1.2943E-2"/>
    <n v="452.35013600000002"/>
    <n v="0"/>
    <n v="0"/>
    <s v="USA"/>
    <s v="United States"/>
    <x v="2"/>
  </r>
  <r>
    <d v="2026-04-07T00:00:00"/>
    <s v="XYZ Luxury"/>
    <s v="Growify_Performance Max_Listing_INTL"/>
    <s v="ENABLED"/>
    <n v="1298.0426210000001"/>
    <n v="27"/>
    <n v="2437"/>
    <n v="48.075653000000003"/>
    <n v="1.1079E-2"/>
    <n v="532.63956499999995"/>
    <n v="0"/>
    <n v="0"/>
    <s v="USA"/>
    <s v="United States"/>
    <x v="2"/>
  </r>
  <r>
    <d v="2026-05-07T00:00:00"/>
    <s v="XYZ Luxury"/>
    <s v="Growify_Performance Max_Listing_INTL"/>
    <s v="ENABLED"/>
    <n v="1722.0328589999999"/>
    <n v="22"/>
    <n v="2024"/>
    <n v="78.274220999999997"/>
    <n v="1.0869999999999999E-2"/>
    <n v="850.80674899999997"/>
    <n v="0.5"/>
    <n v="6600"/>
    <s v="USA"/>
    <s v="United States"/>
    <x v="2"/>
  </r>
  <r>
    <d v="2026-06-07T00:00:00"/>
    <s v="XYZ Luxury"/>
    <s v="Growify_Performance Max_Listing_INTL"/>
    <s v="ENABLED"/>
    <n v="994.31"/>
    <n v="17"/>
    <n v="1668"/>
    <n v="58.488824000000001"/>
    <n v="1.0192E-2"/>
    <n v="596.10911299999998"/>
    <n v="0"/>
    <n v="0"/>
    <s v="USA"/>
    <s v="United States"/>
    <x v="2"/>
  </r>
  <r>
    <d v="2026-07-07T00:00:00"/>
    <s v="XYZ Luxury"/>
    <s v="Growify_Performance Max_Listing_INTL"/>
    <s v="ENABLED"/>
    <n v="723.54"/>
    <n v="19"/>
    <n v="1287"/>
    <n v="38.081052999999997"/>
    <n v="1.4763E-2"/>
    <n v="562.19114200000001"/>
    <n v="0"/>
    <n v="0"/>
    <s v="USA"/>
    <s v="United States"/>
    <x v="2"/>
  </r>
  <r>
    <d v="2026-08-07T00:00:00"/>
    <s v="XYZ Luxury"/>
    <s v="Growify_Performance Max_Listing_INTL"/>
    <s v="ENABLED"/>
    <n v="571.86"/>
    <n v="13"/>
    <n v="1272"/>
    <n v="43.989230999999997"/>
    <n v="1.022E-2"/>
    <n v="449.57547199999999"/>
    <n v="0.5"/>
    <n v="6600"/>
    <s v="USA"/>
    <s v="United States"/>
    <x v="2"/>
  </r>
  <r>
    <d v="2026-09-07T00:00:00"/>
    <s v="XYZ Luxury"/>
    <s v="Growify_Performance Max_Listing_INTL"/>
    <s v="ENABLED"/>
    <n v="148.88"/>
    <n v="5"/>
    <n v="556"/>
    <n v="29.776"/>
    <n v="8.9929999999999993E-3"/>
    <n v="267.76978400000002"/>
    <n v="0"/>
    <n v="0"/>
    <s v="USA"/>
    <s v="United States"/>
    <x v="2"/>
  </r>
  <r>
    <d v="2026-10-07T00:00:00"/>
    <s v="XYZ Luxury"/>
    <s v="Growify_Performance Max_Listing_INTL"/>
    <s v="ENABLED"/>
    <n v="1325.34"/>
    <n v="9"/>
    <n v="1048"/>
    <n v="147.26"/>
    <n v="8.5880000000000001E-3"/>
    <n v="1264.6374049999999"/>
    <n v="0.12"/>
    <n v="8263.8196540000008"/>
    <s v="USA"/>
    <s v="United States"/>
    <x v="2"/>
  </r>
  <r>
    <d v="2026-11-07T00:00:00"/>
    <s v="XYZ Luxury"/>
    <s v="Growify_Performance Max_Listing_INTL"/>
    <s v="ENABLED"/>
    <n v="756.32"/>
    <n v="16"/>
    <n v="1607"/>
    <n v="47.27"/>
    <n v="9.9559999999999996E-3"/>
    <n v="470.64094599999999"/>
    <n v="0"/>
    <n v="0"/>
    <s v="USA"/>
    <s v="United States"/>
    <x v="2"/>
  </r>
  <r>
    <d v="2026-12-07T00:00:00"/>
    <s v="XYZ Luxury"/>
    <s v="Growify_Performance Max_Listing_INTL"/>
    <s v="ENABLED"/>
    <n v="595.15"/>
    <n v="17"/>
    <n v="1262"/>
    <n v="35.008823999999997"/>
    <n v="1.3471E-2"/>
    <n v="471.59271000000001"/>
    <n v="0"/>
    <n v="0"/>
    <s v="USA"/>
    <s v="United States"/>
    <x v="2"/>
  </r>
  <r>
    <s v="13-07-2026"/>
    <s v="XYZ Luxury"/>
    <s v="Growify_Performance Max_Listing_INTL"/>
    <s v="ENABLED"/>
    <n v="583.88"/>
    <n v="16"/>
    <n v="936"/>
    <n v="36.4925"/>
    <n v="1.7094000000000002E-2"/>
    <n v="623.80341899999996"/>
    <n v="0"/>
    <n v="0"/>
    <s v="USA"/>
    <s v="United States"/>
    <x v="2"/>
  </r>
  <r>
    <s v="14-07-2026"/>
    <s v="XYZ Luxury"/>
    <s v="Growify_Performance Max_Listing_INTL"/>
    <s v="ENABLED"/>
    <n v="214.73"/>
    <n v="6"/>
    <n v="408"/>
    <n v="35.788333000000002"/>
    <n v="1.4706E-2"/>
    <n v="526.29902000000004"/>
    <n v="0"/>
    <n v="0"/>
    <s v="USA"/>
    <s v="United States"/>
    <x v="2"/>
  </r>
  <r>
    <s v="15-07-2026"/>
    <s v="XYZ Luxury"/>
    <s v="Growify_Performance Max_Listing_INTL"/>
    <s v="ENABLED"/>
    <n v="551.42999999999995"/>
    <n v="16"/>
    <n v="1279"/>
    <n v="34.464374999999997"/>
    <n v="1.251E-2"/>
    <n v="431.14151700000002"/>
    <n v="0"/>
    <n v="0"/>
    <s v="USA"/>
    <s v="United States"/>
    <x v="2"/>
  </r>
  <r>
    <s v="16-07-2026"/>
    <s v="XYZ Luxury"/>
    <s v="Growify_Performance Max_Listing_INTL"/>
    <s v="ENABLED"/>
    <n v="300.2"/>
    <n v="13"/>
    <n v="1919"/>
    <n v="23.092307999999999"/>
    <n v="6.7739999999999996E-3"/>
    <n v="156.435644"/>
    <n v="0"/>
    <n v="0"/>
    <s v="USA"/>
    <s v="United States"/>
    <x v="2"/>
  </r>
  <r>
    <s v="17-07-2026"/>
    <s v="XYZ Luxury"/>
    <s v="Growify_Performance Max_Listing_INTL"/>
    <s v="ENABLED"/>
    <n v="1590.06"/>
    <n v="43"/>
    <n v="2908"/>
    <n v="36.978140000000003"/>
    <n v="1.4787E-2"/>
    <n v="546.78817100000003"/>
    <n v="0"/>
    <n v="0"/>
    <s v="USA"/>
    <s v="United States"/>
    <x v="2"/>
  </r>
  <r>
    <s v="18-07-2026"/>
    <s v="XYZ Luxury"/>
    <s v="Growify_Performance Max_Listing_INTL"/>
    <s v="ENABLED"/>
    <n v="485.83"/>
    <n v="17"/>
    <n v="2053"/>
    <n v="28.578234999999999"/>
    <n v="8.2810000000000002E-3"/>
    <n v="236.643936"/>
    <n v="0"/>
    <n v="0"/>
    <s v="USA"/>
    <s v="United States"/>
    <x v="2"/>
  </r>
  <r>
    <s v="19-07-2026"/>
    <s v="XYZ Luxury"/>
    <s v="Growify_Performance Max_Listing_INTL"/>
    <s v="ENABLED"/>
    <n v="676.16"/>
    <n v="21"/>
    <n v="1760"/>
    <n v="32.198095000000002"/>
    <n v="1.1932E-2"/>
    <n v="384.18181800000002"/>
    <n v="0"/>
    <n v="0"/>
    <s v="USA"/>
    <s v="United States"/>
    <x v="2"/>
  </r>
  <r>
    <s v="20-07-2026"/>
    <s v="XYZ Luxury"/>
    <s v="Growify_Performance Max_Listing_INTL"/>
    <s v="ENABLED"/>
    <n v="164.65"/>
    <n v="9"/>
    <n v="1308"/>
    <n v="18.294443999999999"/>
    <n v="6.881E-3"/>
    <n v="125.879205"/>
    <n v="0"/>
    <n v="0"/>
    <s v="USA"/>
    <s v="United States"/>
    <x v="2"/>
  </r>
  <r>
    <s v="21-07-2026"/>
    <s v="XYZ Luxury"/>
    <s v="Growify_Performance Max_Listing_INTL"/>
    <s v="ENABLED"/>
    <n v="143"/>
    <n v="5"/>
    <n v="188"/>
    <n v="28.6"/>
    <n v="2.6596000000000002E-2"/>
    <n v="760.63829799999996"/>
    <n v="0"/>
    <n v="0"/>
    <s v="USA"/>
    <s v="United States"/>
    <x v="2"/>
  </r>
  <r>
    <s v="22-07-2026"/>
    <s v="XYZ Luxury"/>
    <s v="Growify_Performance Max_Listing_INTL"/>
    <s v="ENABLED"/>
    <n v="426.52"/>
    <n v="10"/>
    <n v="1028"/>
    <n v="42.652000000000001"/>
    <n v="9.7280000000000005E-3"/>
    <n v="414.90272399999998"/>
    <n v="0"/>
    <n v="0"/>
    <s v="USA"/>
    <s v="United States"/>
    <x v="2"/>
  </r>
  <r>
    <s v="23-07-2026"/>
    <s v="XYZ Luxury"/>
    <s v="Growify_Performance Max_Listing_INTL"/>
    <s v="ENABLED"/>
    <n v="721.74"/>
    <n v="14"/>
    <n v="830"/>
    <n v="51.552857000000003"/>
    <n v="1.6867E-2"/>
    <n v="869.56626500000004"/>
    <n v="0"/>
    <n v="0"/>
    <s v="USA"/>
    <s v="United States"/>
    <x v="2"/>
  </r>
  <r>
    <s v="24-07-2026"/>
    <s v="XYZ Luxury"/>
    <s v="Growify_Performance Max_Listing_INTL"/>
    <s v="ENABLED"/>
    <n v="1073.2"/>
    <n v="12"/>
    <n v="1350"/>
    <n v="89.433333000000005"/>
    <n v="8.8889999999999993E-3"/>
    <n v="794.96296299999995"/>
    <n v="0"/>
    <n v="0"/>
    <s v="USA"/>
    <s v="United States"/>
    <x v="2"/>
  </r>
  <r>
    <s v="25-07-2026"/>
    <s v="XYZ Luxury"/>
    <s v="Growify_Performance Max_Listing_INTL"/>
    <s v="ENABLED"/>
    <n v="1319.43"/>
    <n v="6"/>
    <n v="390"/>
    <n v="219.905"/>
    <n v="1.5384999999999999E-2"/>
    <n v="3383.1538460000002"/>
    <n v="0.88"/>
    <n v="57874.780350000001"/>
    <s v="USA"/>
    <s v="United States"/>
    <x v="2"/>
  </r>
  <r>
    <s v="26-07-2026"/>
    <s v="XYZ Luxury"/>
    <s v="Growify_Performance Max_Listing_INTL"/>
    <s v="ENABLED"/>
    <n v="212.81"/>
    <n v="10"/>
    <n v="436"/>
    <n v="21.280999999999999"/>
    <n v="2.2936000000000002E-2"/>
    <n v="488.09633000000002"/>
    <n v="0"/>
    <n v="0"/>
    <s v="USA"/>
    <s v="United States"/>
    <x v="2"/>
  </r>
  <r>
    <s v="27-07-2026"/>
    <s v="XYZ Luxury"/>
    <s v="Growify_Performance Max_Listing_INTL"/>
    <s v="ENABLED"/>
    <n v="110.06"/>
    <n v="6"/>
    <n v="676"/>
    <n v="18.343333000000001"/>
    <n v="8.8760000000000002E-3"/>
    <n v="162.81065100000001"/>
    <n v="0"/>
    <n v="0"/>
    <s v="USA"/>
    <s v="United States"/>
    <x v="2"/>
  </r>
  <r>
    <s v="28-07-2026"/>
    <s v="XYZ Luxury"/>
    <s v="Growify_Performance Max_Listing_INTL"/>
    <s v="ENABLED"/>
    <n v="527.59"/>
    <n v="13"/>
    <n v="683"/>
    <n v="40.583846000000001"/>
    <n v="1.9033999999999999E-2"/>
    <n v="772.45973600000002"/>
    <n v="0"/>
    <n v="0"/>
    <s v="USA"/>
    <s v="United States"/>
    <x v="2"/>
  </r>
  <r>
    <s v="29-07-2026"/>
    <s v="XYZ Luxury"/>
    <s v="Growify_Performance Max_Listing_INTL"/>
    <s v="ENABLED"/>
    <n v="229.938006"/>
    <n v="14"/>
    <n v="813"/>
    <n v="16.424143000000001"/>
    <n v="1.7219999999999999E-2"/>
    <n v="282.82657599999999"/>
    <n v="0"/>
    <n v="0"/>
    <s v="USA"/>
    <s v="United States"/>
    <x v="2"/>
  </r>
  <r>
    <s v="30-07-2026"/>
    <s v="XYZ Luxury"/>
    <s v="Growify_Performance Max_Listing_INTL"/>
    <s v="ENABLED"/>
    <n v="80.539458999999994"/>
    <n v="5"/>
    <n v="476"/>
    <n v="16.107892"/>
    <n v="1.0503999999999999E-2"/>
    <n v="169.20054400000001"/>
    <n v="0"/>
    <n v="0"/>
    <s v="USA"/>
    <s v="United States"/>
    <x v="2"/>
  </r>
  <r>
    <d v="2026-01-07T00:00:00"/>
    <s v="XYZ Luxury"/>
    <s v="Growify_Performance Max_Listing_INTL"/>
    <s v="ENABLED"/>
    <n v="0"/>
    <n v="0"/>
    <n v="49"/>
    <m/>
    <n v="0"/>
    <n v="0"/>
    <n v="0"/>
    <n v="0"/>
    <s v="Rest of the World"/>
    <s v="Australia"/>
    <x v="3"/>
  </r>
  <r>
    <d v="2026-07-07T00:00:00"/>
    <s v="XYZ Luxury"/>
    <s v="Growify_Performance Max_Listing_INTL"/>
    <s v="ENABLED"/>
    <n v="0"/>
    <n v="0"/>
    <n v="75"/>
    <m/>
    <n v="0"/>
    <n v="0"/>
    <n v="0"/>
    <n v="0"/>
    <s v="Rest of the World"/>
    <s v="Australia"/>
    <x v="3"/>
  </r>
  <r>
    <s v="14-07-2026"/>
    <s v="XYZ Luxury"/>
    <s v="Growify_Performance Max_Listing_INTL"/>
    <s v="ENABLED"/>
    <n v="0"/>
    <n v="0"/>
    <n v="50"/>
    <m/>
    <n v="0"/>
    <n v="0"/>
    <n v="0"/>
    <n v="0"/>
    <s v="Rest of the World"/>
    <s v="Australia"/>
    <x v="3"/>
  </r>
  <r>
    <s v="29-07-2026"/>
    <s v="XYZ Luxury"/>
    <s v="Growify_Performance Max_Listing_INTL"/>
    <s v="ENABLED"/>
    <n v="0"/>
    <n v="0"/>
    <n v="201"/>
    <m/>
    <n v="0"/>
    <n v="0"/>
    <n v="0"/>
    <n v="0"/>
    <s v="Rest of the World"/>
    <s v="Australia"/>
    <x v="3"/>
  </r>
  <r>
    <d v="2026-02-07T00:00:00"/>
    <s v="XYZ Luxury"/>
    <s v="Growify_P.max_HP_EOSS_Ind"/>
    <s v="ENABLED"/>
    <n v="0"/>
    <n v="0"/>
    <n v="8"/>
    <m/>
    <n v="0"/>
    <n v="0"/>
    <n v="0"/>
    <n v="0"/>
    <s v="India"/>
    <s v="India"/>
    <x v="1"/>
  </r>
  <r>
    <s v="13-07-2026"/>
    <s v="XYZ Luxury"/>
    <s v="Growify_Performance Max_Listing_INTL"/>
    <s v="ENABLED"/>
    <n v="0"/>
    <n v="0"/>
    <n v="119"/>
    <m/>
    <n v="0"/>
    <n v="0"/>
    <n v="0"/>
    <n v="0"/>
    <s v="Rest of the World"/>
    <s v="United Kingdom"/>
    <x v="4"/>
  </r>
  <r>
    <s v="14-07-2026"/>
    <s v="XYZ Luxury"/>
    <s v="Growify_XYZ LuxuryP_Search_INT-5/21/26"/>
    <s v="ENABLED"/>
    <n v="0"/>
    <n v="0"/>
    <n v="2"/>
    <m/>
    <n v="0"/>
    <n v="0"/>
    <n v="0"/>
    <n v="0"/>
    <s v="Rest of the World"/>
    <s v="Australia"/>
    <x v="3"/>
  </r>
  <r>
    <d v="2026-02-07T00:00:00"/>
    <s v="XYZ Luxury"/>
    <s v="Growify_Performance Max_Listing_INTL"/>
    <s v="ENABLED"/>
    <n v="0"/>
    <n v="0"/>
    <n v="2"/>
    <m/>
    <n v="0"/>
    <n v="0"/>
    <n v="0"/>
    <n v="0"/>
    <s v="Rest of the World"/>
    <s v="United Kingdom"/>
    <x v="4"/>
  </r>
  <r>
    <s v="25-07-2026"/>
    <s v="XYZ Luxury"/>
    <s v="Growify_Performance Max_Listing_INTL"/>
    <s v="ENABLED"/>
    <n v="0"/>
    <n v="0"/>
    <n v="71"/>
    <m/>
    <n v="0"/>
    <n v="0"/>
    <n v="0"/>
    <n v="0"/>
    <s v="Rest of the World"/>
    <s v="Canada"/>
    <x v="0"/>
  </r>
  <r>
    <s v="30-07-2026"/>
    <s v="XYZ Luxury"/>
    <s v="Growify_XYZ LuxuryP_Search_INT-5/21/26"/>
    <s v="ENABLED"/>
    <n v="0"/>
    <n v="0"/>
    <n v="5"/>
    <m/>
    <n v="0"/>
    <n v="0"/>
    <n v="0"/>
    <n v="0"/>
    <s v="USA"/>
    <s v="United States"/>
    <x v="2"/>
  </r>
  <r>
    <s v="13-07-2026"/>
    <s v="XYZ Luxury"/>
    <s v="Growify_XYZ LuxuryP_Search_INT-5/21/26"/>
    <s v="ENABLED"/>
    <n v="0"/>
    <n v="0"/>
    <n v="6"/>
    <m/>
    <n v="0"/>
    <n v="0"/>
    <n v="0"/>
    <n v="0"/>
    <s v="Rest of the World"/>
    <s v="Australia"/>
    <x v="3"/>
  </r>
  <r>
    <d v="2026-02-07T00:00:00"/>
    <s v="XYZ Luxury"/>
    <s v="Growify_Performance Max_Listing_INTL"/>
    <s v="ENABLED"/>
    <n v="0"/>
    <n v="0"/>
    <n v="7"/>
    <m/>
    <n v="0"/>
    <n v="0"/>
    <n v="0"/>
    <n v="0"/>
    <s v="USA"/>
    <s v="United States"/>
    <x v="2"/>
  </r>
  <r>
    <s v="29-07-2026"/>
    <s v="XYZ Luxury"/>
    <s v="Growify_Performance Max_Listing_INTL"/>
    <s v="ENABLED"/>
    <n v="0"/>
    <n v="0"/>
    <n v="240"/>
    <m/>
    <n v="0"/>
    <n v="0"/>
    <n v="0"/>
    <n v="0"/>
    <s v="Rest of the World"/>
    <s v="United Kingdom"/>
    <x v="4"/>
  </r>
  <r>
    <d v="2026-12-07T00:00:00"/>
    <s v="XYZ Luxury"/>
    <s v="Growify_Performance Max_Listing_INTL"/>
    <s v="ENABLED"/>
    <n v="6.5"/>
    <n v="1"/>
    <n v="131"/>
    <n v="6.5"/>
    <n v="7.6340000000000002E-3"/>
    <n v="49.618321000000002"/>
    <n v="0"/>
    <n v="0"/>
    <s v="Rest of the World"/>
    <s v="United Kingdom"/>
    <x v="4"/>
  </r>
  <r>
    <s v="21-07-2026"/>
    <s v="XYZ Luxury"/>
    <s v="Growify_Performance Max_Listing_INTL"/>
    <s v="ENABLED"/>
    <n v="0"/>
    <n v="0"/>
    <n v="17"/>
    <m/>
    <n v="0"/>
    <n v="0"/>
    <n v="0"/>
    <n v="0"/>
    <s v="Rest of the World"/>
    <s v="Australia"/>
    <x v="3"/>
  </r>
  <r>
    <s v="21-07-2026"/>
    <s v="XYZ Luxury"/>
    <s v="Growify_Performance Max_Listing_INTL"/>
    <s v="ENABLED"/>
    <n v="0"/>
    <n v="0"/>
    <n v="25"/>
    <m/>
    <n v="0"/>
    <n v="0"/>
    <n v="0"/>
    <n v="0"/>
    <s v="Rest of the World"/>
    <s v="Canada"/>
    <x v="0"/>
  </r>
  <r>
    <s v="25-07-2026"/>
    <s v="XYZ Luxury"/>
    <s v="Growify_Performance Max_Listing_INTL"/>
    <s v="ENABLED"/>
    <n v="0"/>
    <n v="0"/>
    <n v="27"/>
    <m/>
    <n v="0"/>
    <n v="0"/>
    <n v="0"/>
    <n v="0"/>
    <s v="Rest of the World"/>
    <s v="Australia"/>
    <x v="3"/>
  </r>
  <r>
    <d v="2026-10-07T00:00:00"/>
    <s v="XYZ Luxury"/>
    <s v="Growify_Performance Max_Listing_INTL"/>
    <s v="ENABLED"/>
    <n v="0"/>
    <n v="0"/>
    <n v="36"/>
    <m/>
    <n v="0"/>
    <n v="0"/>
    <n v="0"/>
    <n v="0"/>
    <s v="Rest of the World"/>
    <s v="Australia"/>
    <x v="3"/>
  </r>
  <r>
    <d v="2026-08-07T00:00:00"/>
    <s v="XYZ Luxury"/>
    <s v="Growify_Performance Max_Listing_INTL"/>
    <s v="ENABLED"/>
    <n v="0"/>
    <n v="0"/>
    <n v="45"/>
    <m/>
    <n v="0"/>
    <n v="0"/>
    <n v="0"/>
    <n v="0"/>
    <s v="Rest of the World"/>
    <s v="Australia"/>
    <x v="3"/>
  </r>
  <r>
    <s v="30-07-2026"/>
    <s v="XYZ Luxury"/>
    <s v="Growify_Performance Max_Listing_INTL"/>
    <s v="ENABLED"/>
    <n v="0"/>
    <n v="0"/>
    <n v="189"/>
    <m/>
    <n v="0"/>
    <n v="0"/>
    <n v="0"/>
    <n v="0"/>
    <s v="Rest of the World"/>
    <s v="Australia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5B2920-ABCA-4289-AD51-02ACC1DF234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" firstHeaderRow="0" firstDataRow="1" firstDataCol="1"/>
  <pivotFields count="18"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6">
        <item x="3"/>
        <item x="0"/>
        <item x="1"/>
        <item x="4"/>
        <item x="2"/>
        <item t="default"/>
      </items>
    </pivotField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Impressions" fld="6" baseField="0" baseItem="0"/>
    <dataField name="Sum of Cost (INR)" fld="4" baseField="0" baseItem="0"/>
    <dataField name="Sum of Clicks" fld="5" baseField="0" baseItem="0"/>
    <dataField name="Sum of Conv. Value (INR)" fld="11" baseField="0" baseItem="0"/>
    <dataField name="Sum of CPA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04698-E78B-457D-B80B-F339CD7229A7}">
  <dimension ref="A1"/>
  <sheetViews>
    <sheetView tabSelected="1" workbookViewId="0"/>
  </sheetViews>
  <sheetFormatPr defaultRowHeight="12.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CC4DE-32EC-473B-8FAD-665F3F74D75A}">
  <dimension ref="A3:F9"/>
  <sheetViews>
    <sheetView workbookViewId="0">
      <selection activeCell="F18" sqref="F18"/>
    </sheetView>
  </sheetViews>
  <sheetFormatPr defaultRowHeight="12.5" x14ac:dyDescent="0.25"/>
  <cols>
    <col min="1" max="1" width="13.36328125" bestFit="1" customWidth="1"/>
    <col min="2" max="2" width="18.08984375" bestFit="1" customWidth="1"/>
    <col min="3" max="3" width="16.36328125" bestFit="1" customWidth="1"/>
    <col min="4" max="4" width="12.6328125" bestFit="1" customWidth="1"/>
    <col min="5" max="5" width="22.81640625" bestFit="1" customWidth="1"/>
    <col min="6" max="7" width="11.81640625" bestFit="1" customWidth="1"/>
  </cols>
  <sheetData>
    <row r="3" spans="1:6" x14ac:dyDescent="0.25">
      <c r="A3" s="4" t="s">
        <v>140</v>
      </c>
      <c r="B3" t="s">
        <v>147</v>
      </c>
      <c r="C3" t="s">
        <v>144</v>
      </c>
      <c r="D3" t="s">
        <v>146</v>
      </c>
      <c r="E3" t="s">
        <v>145</v>
      </c>
      <c r="F3" t="s">
        <v>148</v>
      </c>
    </row>
    <row r="4" spans="1:6" x14ac:dyDescent="0.25">
      <c r="A4" s="5" t="s">
        <v>47</v>
      </c>
      <c r="B4">
        <v>11768</v>
      </c>
      <c r="C4">
        <v>9940.5609390000009</v>
      </c>
      <c r="D4">
        <v>369</v>
      </c>
      <c r="E4">
        <v>106326.39999999999</v>
      </c>
      <c r="F4">
        <v>2485.1402347500002</v>
      </c>
    </row>
    <row r="5" spans="1:6" x14ac:dyDescent="0.25">
      <c r="A5" s="5" t="s">
        <v>20</v>
      </c>
      <c r="B5">
        <v>22735</v>
      </c>
      <c r="C5">
        <v>34425.514005000012</v>
      </c>
      <c r="D5">
        <v>1240</v>
      </c>
      <c r="E5">
        <v>319374.51999999996</v>
      </c>
      <c r="F5">
        <v>2460.7229453180853</v>
      </c>
    </row>
    <row r="6" spans="1:6" x14ac:dyDescent="0.25">
      <c r="A6" s="5" t="s">
        <v>31</v>
      </c>
      <c r="B6">
        <v>1928314</v>
      </c>
      <c r="C6">
        <v>267829.16226300015</v>
      </c>
      <c r="D6">
        <v>51561</v>
      </c>
      <c r="E6">
        <v>1573973.3836879998</v>
      </c>
      <c r="F6">
        <v>2021.3521680226418</v>
      </c>
    </row>
    <row r="7" spans="1:6" x14ac:dyDescent="0.25">
      <c r="A7" s="5" t="s">
        <v>69</v>
      </c>
      <c r="B7">
        <v>16375</v>
      </c>
      <c r="C7">
        <v>10708.886864000002</v>
      </c>
      <c r="D7">
        <v>389</v>
      </c>
      <c r="E7">
        <v>12931.6</v>
      </c>
      <c r="F7">
        <v>10708.886864000002</v>
      </c>
    </row>
    <row r="8" spans="1:6" x14ac:dyDescent="0.25">
      <c r="A8" s="5" t="s">
        <v>44</v>
      </c>
      <c r="B8">
        <v>79727</v>
      </c>
      <c r="C8">
        <v>74710.640881999963</v>
      </c>
      <c r="D8">
        <v>1563</v>
      </c>
      <c r="E8">
        <v>317548.038314</v>
      </c>
      <c r="F8">
        <v>5962.5411717478019</v>
      </c>
    </row>
    <row r="9" spans="1:6" x14ac:dyDescent="0.25">
      <c r="A9" s="5" t="s">
        <v>141</v>
      </c>
      <c r="B9">
        <v>2058919</v>
      </c>
      <c r="C9">
        <v>397614.76495300012</v>
      </c>
      <c r="D9">
        <v>55122</v>
      </c>
      <c r="E9">
        <v>2330153.9420019998</v>
      </c>
      <c r="F9">
        <v>2424.1846418302666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972"/>
  <sheetViews>
    <sheetView zoomScale="85" zoomScaleNormal="85" workbookViewId="0">
      <pane ySplit="1" topLeftCell="A14" activePane="bottomLeft" state="frozen"/>
      <selection pane="bottomLeft" activeCell="R13" sqref="R13"/>
    </sheetView>
  </sheetViews>
  <sheetFormatPr defaultColWidth="12.6328125" defaultRowHeight="15.75" customHeight="1" x14ac:dyDescent="0.25"/>
  <cols>
    <col min="1" max="1" width="10.08984375" style="2" bestFit="1" customWidth="1"/>
    <col min="2" max="2" width="15.81640625" style="2" bestFit="1" customWidth="1"/>
    <col min="3" max="3" width="39.7265625" style="2" bestFit="1" customWidth="1"/>
    <col min="4" max="4" width="14.54296875" style="2" bestFit="1" customWidth="1"/>
    <col min="5" max="5" width="11.81640625" style="2" bestFit="1" customWidth="1"/>
    <col min="6" max="6" width="5.54296875" style="2" bestFit="1" customWidth="1"/>
    <col min="7" max="7" width="10.453125" style="2" bestFit="1" customWidth="1"/>
    <col min="8" max="8" width="10.81640625" style="2" bestFit="1" customWidth="1"/>
    <col min="9" max="9" width="8.81640625" style="2" bestFit="1" customWidth="1"/>
    <col min="10" max="10" width="11.81640625" style="2" bestFit="1" customWidth="1"/>
    <col min="11" max="11" width="10.54296875" style="2" bestFit="1" customWidth="1"/>
    <col min="12" max="12" width="15.26953125" style="2" bestFit="1" customWidth="1"/>
    <col min="13" max="13" width="19.36328125" style="2" bestFit="1" customWidth="1"/>
    <col min="14" max="15" width="13.36328125" style="2" bestFit="1" customWidth="1"/>
    <col min="16" max="16" width="43.90625" style="2" customWidth="1"/>
    <col min="17" max="16384" width="12.6328125" style="2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142</v>
      </c>
      <c r="Q1" s="2" t="s">
        <v>143</v>
      </c>
    </row>
    <row r="2" spans="1:17" ht="15.75" customHeight="1" x14ac:dyDescent="0.25">
      <c r="A2" s="1" t="s">
        <v>15</v>
      </c>
      <c r="B2" s="1" t="s">
        <v>16</v>
      </c>
      <c r="C2" s="1" t="s">
        <v>17</v>
      </c>
      <c r="D2" s="1" t="s">
        <v>18</v>
      </c>
      <c r="E2" s="1">
        <v>34.463968999999999</v>
      </c>
      <c r="F2" s="1">
        <v>2</v>
      </c>
      <c r="G2" s="1">
        <v>141</v>
      </c>
      <c r="H2" s="1">
        <v>17.231985000000002</v>
      </c>
      <c r="I2" s="1">
        <v>1.4184E-2</v>
      </c>
      <c r="J2" s="1">
        <v>244.42531199999999</v>
      </c>
      <c r="K2" s="1">
        <v>0</v>
      </c>
      <c r="L2" s="1">
        <v>0</v>
      </c>
      <c r="M2" s="1" t="s">
        <v>19</v>
      </c>
      <c r="N2" s="1" t="s">
        <v>20</v>
      </c>
      <c r="O2" s="1" t="s">
        <v>20</v>
      </c>
      <c r="P2" s="2">
        <f>IFERROR(K2/ L2, 0)</f>
        <v>0</v>
      </c>
      <c r="Q2" s="2">
        <f>IFERROR(E2/K2, 0)</f>
        <v>0</v>
      </c>
    </row>
    <row r="3" spans="1:17" ht="15.75" customHeight="1" x14ac:dyDescent="0.25">
      <c r="A3" s="1" t="s">
        <v>21</v>
      </c>
      <c r="B3" s="1" t="s">
        <v>16</v>
      </c>
      <c r="C3" s="1" t="s">
        <v>17</v>
      </c>
      <c r="D3" s="1" t="s">
        <v>18</v>
      </c>
      <c r="E3" s="1">
        <v>304.21471100000002</v>
      </c>
      <c r="F3" s="1">
        <v>10</v>
      </c>
      <c r="G3" s="1">
        <v>111</v>
      </c>
      <c r="H3" s="1">
        <v>30.421471</v>
      </c>
      <c r="I3" s="1">
        <v>9.0090000000000003E-2</v>
      </c>
      <c r="J3" s="1">
        <v>2740.673072</v>
      </c>
      <c r="K3" s="1">
        <v>0</v>
      </c>
      <c r="L3" s="1">
        <v>0</v>
      </c>
      <c r="M3" s="1" t="s">
        <v>19</v>
      </c>
      <c r="N3" s="1" t="s">
        <v>20</v>
      </c>
      <c r="O3" s="1" t="s">
        <v>20</v>
      </c>
      <c r="P3" s="2">
        <f t="shared" ref="P3:P66" si="0">IFERROR(K3/ L3, 0)</f>
        <v>0</v>
      </c>
      <c r="Q3" s="2">
        <f t="shared" ref="Q3:Q66" si="1">IFERROR(E3/K3, 0)</f>
        <v>0</v>
      </c>
    </row>
    <row r="4" spans="1:17" ht="15.75" customHeight="1" x14ac:dyDescent="0.25">
      <c r="A4" s="1" t="s">
        <v>22</v>
      </c>
      <c r="B4" s="1" t="s">
        <v>16</v>
      </c>
      <c r="C4" s="1" t="s">
        <v>17</v>
      </c>
      <c r="D4" s="1" t="s">
        <v>18</v>
      </c>
      <c r="E4" s="1">
        <v>1130.917193</v>
      </c>
      <c r="F4" s="1">
        <v>10</v>
      </c>
      <c r="G4" s="1">
        <v>231</v>
      </c>
      <c r="H4" s="1">
        <v>113.091719</v>
      </c>
      <c r="I4" s="1">
        <v>4.3290000000000002E-2</v>
      </c>
      <c r="J4" s="1">
        <v>4895.7454239999997</v>
      </c>
      <c r="K4" s="1">
        <v>0</v>
      </c>
      <c r="L4" s="1">
        <v>0</v>
      </c>
      <c r="M4" s="1" t="s">
        <v>19</v>
      </c>
      <c r="N4" s="1" t="s">
        <v>20</v>
      </c>
      <c r="O4" s="1" t="s">
        <v>20</v>
      </c>
      <c r="P4" s="2">
        <f t="shared" si="0"/>
        <v>0</v>
      </c>
      <c r="Q4" s="2">
        <f t="shared" si="1"/>
        <v>0</v>
      </c>
    </row>
    <row r="5" spans="1:17" ht="15.75" customHeight="1" x14ac:dyDescent="0.25">
      <c r="A5" s="1" t="s">
        <v>23</v>
      </c>
      <c r="B5" s="1" t="s">
        <v>16</v>
      </c>
      <c r="C5" s="1" t="s">
        <v>17</v>
      </c>
      <c r="D5" s="1" t="s">
        <v>18</v>
      </c>
      <c r="E5" s="1">
        <v>310.10403500000001</v>
      </c>
      <c r="F5" s="1">
        <v>4</v>
      </c>
      <c r="G5" s="1">
        <v>65</v>
      </c>
      <c r="H5" s="1">
        <v>77.526009000000002</v>
      </c>
      <c r="I5" s="1">
        <v>6.1538000000000002E-2</v>
      </c>
      <c r="J5" s="1">
        <v>4770.8313079999998</v>
      </c>
      <c r="K5" s="1">
        <v>0</v>
      </c>
      <c r="L5" s="1">
        <v>0</v>
      </c>
      <c r="M5" s="1" t="s">
        <v>19</v>
      </c>
      <c r="N5" s="1" t="s">
        <v>20</v>
      </c>
      <c r="O5" s="1" t="s">
        <v>20</v>
      </c>
      <c r="P5" s="2">
        <f t="shared" si="0"/>
        <v>0</v>
      </c>
      <c r="Q5" s="2">
        <f t="shared" si="1"/>
        <v>0</v>
      </c>
    </row>
    <row r="6" spans="1:17" ht="15.75" customHeight="1" x14ac:dyDescent="0.25">
      <c r="A6" s="1" t="s">
        <v>24</v>
      </c>
      <c r="B6" s="1" t="s">
        <v>16</v>
      </c>
      <c r="C6" s="1" t="s">
        <v>17</v>
      </c>
      <c r="D6" s="1" t="s">
        <v>18</v>
      </c>
      <c r="E6" s="1">
        <v>47.66</v>
      </c>
      <c r="F6" s="1">
        <v>2</v>
      </c>
      <c r="G6" s="1">
        <v>283</v>
      </c>
      <c r="H6" s="1">
        <v>23.83</v>
      </c>
      <c r="I6" s="1">
        <v>7.0670000000000004E-3</v>
      </c>
      <c r="J6" s="1">
        <v>168.40989400000001</v>
      </c>
      <c r="K6" s="1">
        <v>0</v>
      </c>
      <c r="L6" s="1">
        <v>0</v>
      </c>
      <c r="M6" s="1" t="s">
        <v>19</v>
      </c>
      <c r="N6" s="1" t="s">
        <v>20</v>
      </c>
      <c r="O6" s="1" t="s">
        <v>20</v>
      </c>
      <c r="P6" s="2">
        <f t="shared" si="0"/>
        <v>0</v>
      </c>
      <c r="Q6" s="2">
        <f t="shared" si="1"/>
        <v>0</v>
      </c>
    </row>
    <row r="7" spans="1:17" ht="15.75" customHeight="1" x14ac:dyDescent="0.25">
      <c r="A7" s="1" t="s">
        <v>25</v>
      </c>
      <c r="B7" s="1" t="s">
        <v>16</v>
      </c>
      <c r="C7" s="1" t="s">
        <v>17</v>
      </c>
      <c r="D7" s="1" t="s">
        <v>18</v>
      </c>
      <c r="E7" s="1">
        <v>315.51</v>
      </c>
      <c r="F7" s="1">
        <v>7</v>
      </c>
      <c r="G7" s="1">
        <v>553</v>
      </c>
      <c r="H7" s="1">
        <v>45.072856999999999</v>
      </c>
      <c r="I7" s="1">
        <v>1.2658000000000001E-2</v>
      </c>
      <c r="J7" s="1">
        <v>570.54249500000003</v>
      </c>
      <c r="K7" s="1">
        <v>0</v>
      </c>
      <c r="L7" s="1">
        <v>0</v>
      </c>
      <c r="M7" s="1" t="s">
        <v>19</v>
      </c>
      <c r="N7" s="1" t="s">
        <v>20</v>
      </c>
      <c r="O7" s="1" t="s">
        <v>20</v>
      </c>
      <c r="P7" s="2">
        <f t="shared" si="0"/>
        <v>0</v>
      </c>
      <c r="Q7" s="2">
        <f t="shared" si="1"/>
        <v>0</v>
      </c>
    </row>
    <row r="8" spans="1:17" ht="15.75" customHeight="1" x14ac:dyDescent="0.25">
      <c r="A8" s="1" t="s">
        <v>26</v>
      </c>
      <c r="B8" s="1" t="s">
        <v>16</v>
      </c>
      <c r="C8" s="1" t="s">
        <v>17</v>
      </c>
      <c r="D8" s="1" t="s">
        <v>18</v>
      </c>
      <c r="E8" s="1">
        <v>131.59</v>
      </c>
      <c r="F8" s="1">
        <v>2</v>
      </c>
      <c r="G8" s="1">
        <v>767</v>
      </c>
      <c r="H8" s="1">
        <v>65.795000000000002</v>
      </c>
      <c r="I8" s="1">
        <v>2.6080000000000001E-3</v>
      </c>
      <c r="J8" s="1">
        <v>171.564537</v>
      </c>
      <c r="K8" s="1">
        <v>0</v>
      </c>
      <c r="L8" s="1">
        <v>0</v>
      </c>
      <c r="M8" s="1" t="s">
        <v>19</v>
      </c>
      <c r="N8" s="1" t="s">
        <v>20</v>
      </c>
      <c r="O8" s="1" t="s">
        <v>20</v>
      </c>
      <c r="P8" s="2">
        <f t="shared" si="0"/>
        <v>0</v>
      </c>
      <c r="Q8" s="2">
        <f t="shared" si="1"/>
        <v>0</v>
      </c>
    </row>
    <row r="9" spans="1:17" ht="15.75" customHeight="1" x14ac:dyDescent="0.25">
      <c r="A9" s="1" t="s">
        <v>27</v>
      </c>
      <c r="B9" s="1" t="s">
        <v>16</v>
      </c>
      <c r="C9" s="1" t="s">
        <v>17</v>
      </c>
      <c r="D9" s="1" t="s">
        <v>18</v>
      </c>
      <c r="E9" s="1">
        <v>910.91912600000001</v>
      </c>
      <c r="F9" s="1">
        <v>18</v>
      </c>
      <c r="G9" s="1">
        <v>1128</v>
      </c>
      <c r="H9" s="1">
        <v>50.606617999999997</v>
      </c>
      <c r="I9" s="1">
        <v>1.5956999999999999E-2</v>
      </c>
      <c r="J9" s="1">
        <v>807.55241699999999</v>
      </c>
      <c r="K9" s="1">
        <v>0</v>
      </c>
      <c r="L9" s="1">
        <v>0</v>
      </c>
      <c r="M9" s="1" t="s">
        <v>19</v>
      </c>
      <c r="N9" s="1" t="s">
        <v>20</v>
      </c>
      <c r="O9" s="1" t="s">
        <v>20</v>
      </c>
      <c r="P9" s="2">
        <f t="shared" si="0"/>
        <v>0</v>
      </c>
      <c r="Q9" s="2">
        <f t="shared" si="1"/>
        <v>0</v>
      </c>
    </row>
    <row r="10" spans="1:17" ht="15.75" customHeight="1" x14ac:dyDescent="0.25">
      <c r="A10" s="1" t="s">
        <v>28</v>
      </c>
      <c r="B10" s="1" t="s">
        <v>16</v>
      </c>
      <c r="C10" s="1" t="s">
        <v>17</v>
      </c>
      <c r="D10" s="1" t="s">
        <v>18</v>
      </c>
      <c r="E10" s="1">
        <v>347.83116699999999</v>
      </c>
      <c r="F10" s="1">
        <v>10</v>
      </c>
      <c r="G10" s="1">
        <v>669</v>
      </c>
      <c r="H10" s="1">
        <v>34.783116999999997</v>
      </c>
      <c r="I10" s="1">
        <v>1.4947999999999999E-2</v>
      </c>
      <c r="J10" s="1">
        <v>519.92700600000001</v>
      </c>
      <c r="K10" s="1">
        <v>0</v>
      </c>
      <c r="L10" s="1">
        <v>0</v>
      </c>
      <c r="M10" s="1" t="s">
        <v>19</v>
      </c>
      <c r="N10" s="1" t="s">
        <v>20</v>
      </c>
      <c r="O10" s="1" t="s">
        <v>20</v>
      </c>
      <c r="P10" s="2">
        <f t="shared" si="0"/>
        <v>0</v>
      </c>
      <c r="Q10" s="2">
        <f t="shared" si="1"/>
        <v>0</v>
      </c>
    </row>
    <row r="11" spans="1:17" ht="15.75" customHeight="1" x14ac:dyDescent="0.25">
      <c r="A11" s="1" t="s">
        <v>29</v>
      </c>
      <c r="B11" s="1" t="s">
        <v>16</v>
      </c>
      <c r="C11" s="1" t="s">
        <v>17</v>
      </c>
      <c r="D11" s="1" t="s">
        <v>18</v>
      </c>
      <c r="E11" s="1">
        <v>25.26</v>
      </c>
      <c r="F11" s="1">
        <v>2</v>
      </c>
      <c r="G11" s="1">
        <v>89</v>
      </c>
      <c r="H11" s="1">
        <v>12.63</v>
      </c>
      <c r="I11" s="1">
        <v>2.2471999999999999E-2</v>
      </c>
      <c r="J11" s="1">
        <v>283.82022499999999</v>
      </c>
      <c r="K11" s="1">
        <v>0</v>
      </c>
      <c r="L11" s="1">
        <v>0</v>
      </c>
      <c r="M11" s="1" t="s">
        <v>19</v>
      </c>
      <c r="N11" s="1" t="s">
        <v>20</v>
      </c>
      <c r="O11" s="1" t="s">
        <v>20</v>
      </c>
      <c r="P11" s="2">
        <f t="shared" si="0"/>
        <v>0</v>
      </c>
      <c r="Q11" s="2">
        <f t="shared" si="1"/>
        <v>0</v>
      </c>
    </row>
    <row r="12" spans="1:17" ht="15.75" customHeight="1" x14ac:dyDescent="0.25">
      <c r="A12" s="1" t="s">
        <v>15</v>
      </c>
      <c r="B12" s="1" t="s">
        <v>16</v>
      </c>
      <c r="C12" s="1" t="s">
        <v>30</v>
      </c>
      <c r="D12" s="1" t="s">
        <v>18</v>
      </c>
      <c r="E12" s="1">
        <v>72.682209</v>
      </c>
      <c r="F12" s="1">
        <v>73</v>
      </c>
      <c r="G12" s="1">
        <v>1354</v>
      </c>
      <c r="H12" s="1">
        <v>0.99564699999999995</v>
      </c>
      <c r="I12" s="1">
        <v>5.3913999999999997E-2</v>
      </c>
      <c r="J12" s="1">
        <v>53.679622999999999</v>
      </c>
      <c r="K12" s="1">
        <v>0</v>
      </c>
      <c r="L12" s="1">
        <v>0</v>
      </c>
      <c r="M12" s="1" t="s">
        <v>31</v>
      </c>
      <c r="N12" s="1" t="s">
        <v>31</v>
      </c>
      <c r="O12" s="1" t="s">
        <v>31</v>
      </c>
      <c r="P12" s="2">
        <f t="shared" si="0"/>
        <v>0</v>
      </c>
      <c r="Q12" s="2">
        <f t="shared" si="1"/>
        <v>0</v>
      </c>
    </row>
    <row r="13" spans="1:17" ht="15.75" customHeight="1" x14ac:dyDescent="0.25">
      <c r="A13" s="1" t="s">
        <v>21</v>
      </c>
      <c r="B13" s="1" t="s">
        <v>16</v>
      </c>
      <c r="C13" s="1" t="s">
        <v>30</v>
      </c>
      <c r="D13" s="1" t="s">
        <v>18</v>
      </c>
      <c r="E13" s="1">
        <v>1898.8104820000001</v>
      </c>
      <c r="F13" s="1">
        <v>1230</v>
      </c>
      <c r="G13" s="1">
        <v>16740</v>
      </c>
      <c r="H13" s="1">
        <v>1.5437479999999999</v>
      </c>
      <c r="I13" s="1">
        <v>7.3477000000000001E-2</v>
      </c>
      <c r="J13" s="1">
        <v>113.42953900000001</v>
      </c>
      <c r="K13" s="1">
        <v>0</v>
      </c>
      <c r="L13" s="1">
        <v>0</v>
      </c>
      <c r="M13" s="1" t="s">
        <v>31</v>
      </c>
      <c r="N13" s="1" t="s">
        <v>31</v>
      </c>
      <c r="O13" s="1" t="s">
        <v>31</v>
      </c>
      <c r="P13" s="2">
        <f t="shared" si="0"/>
        <v>0</v>
      </c>
      <c r="Q13" s="2">
        <f>IFERROR(E13/K13, 0)</f>
        <v>0</v>
      </c>
    </row>
    <row r="14" spans="1:17" ht="15.75" customHeight="1" x14ac:dyDescent="0.25">
      <c r="A14" s="1" t="s">
        <v>22</v>
      </c>
      <c r="B14" s="1" t="s">
        <v>16</v>
      </c>
      <c r="C14" s="1" t="s">
        <v>30</v>
      </c>
      <c r="D14" s="1" t="s">
        <v>18</v>
      </c>
      <c r="E14" s="1">
        <v>5055.8008909999999</v>
      </c>
      <c r="F14" s="1">
        <v>1545</v>
      </c>
      <c r="G14" s="1">
        <v>28984</v>
      </c>
      <c r="H14" s="1">
        <v>3.2723629999999999</v>
      </c>
      <c r="I14" s="1">
        <v>5.3304999999999998E-2</v>
      </c>
      <c r="J14" s="1">
        <v>174.434201</v>
      </c>
      <c r="K14" s="1">
        <v>0</v>
      </c>
      <c r="L14" s="1">
        <v>0</v>
      </c>
      <c r="M14" s="1" t="s">
        <v>31</v>
      </c>
      <c r="N14" s="1" t="s">
        <v>31</v>
      </c>
      <c r="O14" s="1" t="s">
        <v>31</v>
      </c>
      <c r="P14" s="2">
        <f t="shared" si="0"/>
        <v>0</v>
      </c>
      <c r="Q14" s="2">
        <f t="shared" si="1"/>
        <v>0</v>
      </c>
    </row>
    <row r="15" spans="1:17" ht="15.75" customHeight="1" x14ac:dyDescent="0.25">
      <c r="A15" s="1" t="s">
        <v>23</v>
      </c>
      <c r="B15" s="1" t="s">
        <v>16</v>
      </c>
      <c r="C15" s="1" t="s">
        <v>30</v>
      </c>
      <c r="D15" s="1" t="s">
        <v>18</v>
      </c>
      <c r="E15" s="1">
        <v>1245.0249449999999</v>
      </c>
      <c r="F15" s="1">
        <v>120</v>
      </c>
      <c r="G15" s="1">
        <v>3043</v>
      </c>
      <c r="H15" s="1">
        <v>10.375208000000001</v>
      </c>
      <c r="I15" s="1">
        <v>3.9434999999999998E-2</v>
      </c>
      <c r="J15" s="1">
        <v>409.14391899999998</v>
      </c>
      <c r="K15" s="1">
        <v>0</v>
      </c>
      <c r="L15" s="1">
        <v>0</v>
      </c>
      <c r="M15" s="1" t="s">
        <v>31</v>
      </c>
      <c r="N15" s="1" t="s">
        <v>31</v>
      </c>
      <c r="O15" s="1" t="s">
        <v>31</v>
      </c>
      <c r="P15" s="2">
        <f t="shared" si="0"/>
        <v>0</v>
      </c>
      <c r="Q15" s="2">
        <f t="shared" si="1"/>
        <v>0</v>
      </c>
    </row>
    <row r="16" spans="1:17" ht="15.75" customHeight="1" x14ac:dyDescent="0.25">
      <c r="A16" s="1" t="s">
        <v>24</v>
      </c>
      <c r="B16" s="1" t="s">
        <v>16</v>
      </c>
      <c r="C16" s="1" t="s">
        <v>30</v>
      </c>
      <c r="D16" s="1" t="s">
        <v>18</v>
      </c>
      <c r="E16" s="1">
        <v>2726.0390179999999</v>
      </c>
      <c r="F16" s="1">
        <v>165</v>
      </c>
      <c r="G16" s="1">
        <v>6266</v>
      </c>
      <c r="H16" s="1">
        <v>16.521449</v>
      </c>
      <c r="I16" s="1">
        <v>2.6332999999999999E-2</v>
      </c>
      <c r="J16" s="1">
        <v>435.05250799999999</v>
      </c>
      <c r="K16" s="1">
        <v>0</v>
      </c>
      <c r="L16" s="1">
        <v>0</v>
      </c>
      <c r="M16" s="1" t="s">
        <v>31</v>
      </c>
      <c r="N16" s="1" t="s">
        <v>31</v>
      </c>
      <c r="O16" s="1" t="s">
        <v>31</v>
      </c>
      <c r="P16" s="2">
        <f t="shared" si="0"/>
        <v>0</v>
      </c>
      <c r="Q16" s="2">
        <f t="shared" si="1"/>
        <v>0</v>
      </c>
    </row>
    <row r="17" spans="1:17" ht="15.75" customHeight="1" x14ac:dyDescent="0.25">
      <c r="A17" s="1" t="s">
        <v>25</v>
      </c>
      <c r="B17" s="1" t="s">
        <v>16</v>
      </c>
      <c r="C17" s="1" t="s">
        <v>30</v>
      </c>
      <c r="D17" s="1" t="s">
        <v>18</v>
      </c>
      <c r="E17" s="1">
        <v>1989.0668860000001</v>
      </c>
      <c r="F17" s="1">
        <v>69</v>
      </c>
      <c r="G17" s="1">
        <v>2072</v>
      </c>
      <c r="H17" s="1">
        <v>28.827055999999999</v>
      </c>
      <c r="I17" s="1">
        <v>3.3300999999999997E-2</v>
      </c>
      <c r="J17" s="1">
        <v>959.97436600000003</v>
      </c>
      <c r="K17" s="1">
        <v>0</v>
      </c>
      <c r="L17" s="1">
        <v>9.7965999999999998</v>
      </c>
      <c r="M17" s="1" t="s">
        <v>31</v>
      </c>
      <c r="N17" s="1" t="s">
        <v>31</v>
      </c>
      <c r="O17" s="1" t="s">
        <v>31</v>
      </c>
      <c r="P17" s="2">
        <f t="shared" si="0"/>
        <v>0</v>
      </c>
      <c r="Q17" s="2">
        <f t="shared" si="1"/>
        <v>0</v>
      </c>
    </row>
    <row r="18" spans="1:17" ht="15.75" customHeight="1" x14ac:dyDescent="0.25">
      <c r="A18" s="1" t="s">
        <v>32</v>
      </c>
      <c r="B18" s="1" t="s">
        <v>16</v>
      </c>
      <c r="C18" s="1" t="s">
        <v>30</v>
      </c>
      <c r="D18" s="1" t="s">
        <v>18</v>
      </c>
      <c r="E18" s="1">
        <v>9.3758359999999996</v>
      </c>
      <c r="F18" s="1">
        <v>0</v>
      </c>
      <c r="G18" s="1">
        <v>52</v>
      </c>
      <c r="I18" s="1">
        <v>0</v>
      </c>
      <c r="J18" s="1">
        <v>180.30453800000001</v>
      </c>
      <c r="K18" s="1">
        <v>0</v>
      </c>
      <c r="L18" s="1">
        <v>0</v>
      </c>
      <c r="M18" s="1" t="s">
        <v>31</v>
      </c>
      <c r="N18" s="1" t="s">
        <v>31</v>
      </c>
      <c r="O18" s="1" t="s">
        <v>31</v>
      </c>
      <c r="P18" s="2">
        <f t="shared" si="0"/>
        <v>0</v>
      </c>
      <c r="Q18" s="2">
        <f t="shared" si="1"/>
        <v>0</v>
      </c>
    </row>
    <row r="19" spans="1:17" ht="15.75" customHeight="1" x14ac:dyDescent="0.25">
      <c r="A19" s="1" t="s">
        <v>26</v>
      </c>
      <c r="B19" s="1" t="s">
        <v>16</v>
      </c>
      <c r="C19" s="1" t="s">
        <v>30</v>
      </c>
      <c r="D19" s="1" t="s">
        <v>18</v>
      </c>
      <c r="E19" s="1">
        <v>4947.166545</v>
      </c>
      <c r="F19" s="1">
        <v>500</v>
      </c>
      <c r="G19" s="1">
        <v>26617</v>
      </c>
      <c r="H19" s="1">
        <v>9.8943329999999996</v>
      </c>
      <c r="I19" s="1">
        <v>1.8785E-2</v>
      </c>
      <c r="J19" s="1">
        <v>185.86491899999999</v>
      </c>
      <c r="K19" s="1">
        <v>0</v>
      </c>
      <c r="L19" s="1">
        <v>0</v>
      </c>
      <c r="M19" s="1" t="s">
        <v>31</v>
      </c>
      <c r="N19" s="1" t="s">
        <v>31</v>
      </c>
      <c r="O19" s="1" t="s">
        <v>31</v>
      </c>
      <c r="P19" s="2">
        <f t="shared" si="0"/>
        <v>0</v>
      </c>
      <c r="Q19" s="2">
        <f t="shared" si="1"/>
        <v>0</v>
      </c>
    </row>
    <row r="20" spans="1:17" ht="15.75" customHeight="1" x14ac:dyDescent="0.25">
      <c r="A20" s="1" t="s">
        <v>27</v>
      </c>
      <c r="B20" s="1" t="s">
        <v>16</v>
      </c>
      <c r="C20" s="1" t="s">
        <v>30</v>
      </c>
      <c r="D20" s="1" t="s">
        <v>18</v>
      </c>
      <c r="E20" s="1">
        <v>4449.3469130000003</v>
      </c>
      <c r="F20" s="1">
        <v>771</v>
      </c>
      <c r="G20" s="1">
        <v>42186</v>
      </c>
      <c r="H20" s="1">
        <v>5.7708779999999997</v>
      </c>
      <c r="I20" s="1">
        <v>1.8276000000000001E-2</v>
      </c>
      <c r="J20" s="1">
        <v>105.469751</v>
      </c>
      <c r="K20" s="1">
        <v>0</v>
      </c>
      <c r="L20" s="1">
        <v>0</v>
      </c>
      <c r="M20" s="1" t="s">
        <v>31</v>
      </c>
      <c r="N20" s="1" t="s">
        <v>31</v>
      </c>
      <c r="O20" s="1" t="s">
        <v>31</v>
      </c>
      <c r="P20" s="2">
        <f t="shared" si="0"/>
        <v>0</v>
      </c>
      <c r="Q20" s="2">
        <f t="shared" si="1"/>
        <v>0</v>
      </c>
    </row>
    <row r="21" spans="1:17" ht="12.5" x14ac:dyDescent="0.25">
      <c r="A21" s="1" t="s">
        <v>28</v>
      </c>
      <c r="B21" s="1" t="s">
        <v>16</v>
      </c>
      <c r="C21" s="1" t="s">
        <v>30</v>
      </c>
      <c r="D21" s="1" t="s">
        <v>18</v>
      </c>
      <c r="E21" s="1">
        <v>4438.0174829999996</v>
      </c>
      <c r="F21" s="1">
        <v>890</v>
      </c>
      <c r="G21" s="1">
        <v>41593</v>
      </c>
      <c r="H21" s="1">
        <v>4.9865360000000001</v>
      </c>
      <c r="I21" s="1">
        <v>2.1398E-2</v>
      </c>
      <c r="J21" s="1">
        <v>106.70106699999999</v>
      </c>
      <c r="K21" s="1">
        <v>0</v>
      </c>
      <c r="L21" s="1">
        <v>0</v>
      </c>
      <c r="M21" s="1" t="s">
        <v>31</v>
      </c>
      <c r="N21" s="1" t="s">
        <v>31</v>
      </c>
      <c r="O21" s="1" t="s">
        <v>31</v>
      </c>
      <c r="P21" s="2">
        <f t="shared" si="0"/>
        <v>0</v>
      </c>
      <c r="Q21" s="2">
        <f t="shared" si="1"/>
        <v>0</v>
      </c>
    </row>
    <row r="22" spans="1:17" ht="12.5" x14ac:dyDescent="0.25">
      <c r="A22" s="1" t="s">
        <v>29</v>
      </c>
      <c r="B22" s="1" t="s">
        <v>16</v>
      </c>
      <c r="C22" s="1" t="s">
        <v>30</v>
      </c>
      <c r="D22" s="1" t="s">
        <v>18</v>
      </c>
      <c r="E22" s="1">
        <v>1360.7223980000001</v>
      </c>
      <c r="F22" s="1">
        <v>350</v>
      </c>
      <c r="G22" s="1">
        <v>17622</v>
      </c>
      <c r="H22" s="1">
        <v>3.887778</v>
      </c>
      <c r="I22" s="1">
        <v>1.9862000000000001E-2</v>
      </c>
      <c r="J22" s="1">
        <v>77.217251000000005</v>
      </c>
      <c r="K22" s="1">
        <v>0</v>
      </c>
      <c r="L22" s="1">
        <v>0</v>
      </c>
      <c r="M22" s="1" t="s">
        <v>31</v>
      </c>
      <c r="N22" s="1" t="s">
        <v>31</v>
      </c>
      <c r="O22" s="1" t="s">
        <v>31</v>
      </c>
      <c r="P22" s="2">
        <f t="shared" si="0"/>
        <v>0</v>
      </c>
      <c r="Q22" s="2">
        <f t="shared" si="1"/>
        <v>0</v>
      </c>
    </row>
    <row r="23" spans="1:17" ht="12.5" x14ac:dyDescent="0.25">
      <c r="A23" s="1" t="s">
        <v>33</v>
      </c>
      <c r="B23" s="1" t="s">
        <v>16</v>
      </c>
      <c r="C23" s="1" t="s">
        <v>30</v>
      </c>
      <c r="D23" s="1" t="s">
        <v>18</v>
      </c>
      <c r="E23" s="1">
        <v>0.79</v>
      </c>
      <c r="F23" s="1">
        <v>1</v>
      </c>
      <c r="G23" s="1">
        <v>25</v>
      </c>
      <c r="H23" s="1">
        <v>0.79</v>
      </c>
      <c r="I23" s="1">
        <v>0.04</v>
      </c>
      <c r="J23" s="1">
        <v>31.6</v>
      </c>
      <c r="K23" s="1">
        <v>0</v>
      </c>
      <c r="L23" s="1">
        <v>0</v>
      </c>
      <c r="M23" s="1" t="s">
        <v>31</v>
      </c>
      <c r="N23" s="1" t="s">
        <v>31</v>
      </c>
      <c r="O23" s="1" t="s">
        <v>31</v>
      </c>
      <c r="P23" s="2">
        <f t="shared" si="0"/>
        <v>0</v>
      </c>
      <c r="Q23" s="2">
        <f t="shared" si="1"/>
        <v>0</v>
      </c>
    </row>
    <row r="24" spans="1:17" ht="12.5" x14ac:dyDescent="0.25">
      <c r="A24" s="1" t="s">
        <v>34</v>
      </c>
      <c r="B24" s="1" t="s">
        <v>16</v>
      </c>
      <c r="C24" s="1" t="s">
        <v>30</v>
      </c>
      <c r="D24" s="1" t="s">
        <v>18</v>
      </c>
      <c r="E24" s="1">
        <v>1178.31</v>
      </c>
      <c r="F24" s="1">
        <v>202</v>
      </c>
      <c r="G24" s="1">
        <v>9297</v>
      </c>
      <c r="H24" s="1">
        <v>5.8332179999999996</v>
      </c>
      <c r="I24" s="1">
        <v>2.1727E-2</v>
      </c>
      <c r="J24" s="1">
        <v>126.74088399999999</v>
      </c>
      <c r="K24" s="1">
        <v>0</v>
      </c>
      <c r="L24" s="1">
        <v>0</v>
      </c>
      <c r="M24" s="1" t="s">
        <v>31</v>
      </c>
      <c r="N24" s="1" t="s">
        <v>31</v>
      </c>
      <c r="O24" s="1" t="s">
        <v>31</v>
      </c>
      <c r="P24" s="2">
        <f t="shared" si="0"/>
        <v>0</v>
      </c>
      <c r="Q24" s="2">
        <f t="shared" si="1"/>
        <v>0</v>
      </c>
    </row>
    <row r="25" spans="1:17" ht="12.5" x14ac:dyDescent="0.25">
      <c r="A25" s="1" t="s">
        <v>35</v>
      </c>
      <c r="B25" s="1" t="s">
        <v>16</v>
      </c>
      <c r="C25" s="1" t="s">
        <v>30</v>
      </c>
      <c r="D25" s="1" t="s">
        <v>18</v>
      </c>
      <c r="E25" s="1">
        <v>1697.1</v>
      </c>
      <c r="F25" s="1">
        <v>353</v>
      </c>
      <c r="G25" s="1">
        <v>17899</v>
      </c>
      <c r="H25" s="1">
        <v>4.8076489999999996</v>
      </c>
      <c r="I25" s="1">
        <v>1.9722E-2</v>
      </c>
      <c r="J25" s="1">
        <v>94.815353000000002</v>
      </c>
      <c r="K25" s="1">
        <v>0</v>
      </c>
      <c r="L25" s="1">
        <v>0</v>
      </c>
      <c r="M25" s="1" t="s">
        <v>31</v>
      </c>
      <c r="N25" s="1" t="s">
        <v>31</v>
      </c>
      <c r="O25" s="1" t="s">
        <v>31</v>
      </c>
      <c r="P25" s="2">
        <f t="shared" si="0"/>
        <v>0</v>
      </c>
      <c r="Q25" s="2">
        <f t="shared" si="1"/>
        <v>0</v>
      </c>
    </row>
    <row r="26" spans="1:17" ht="12.5" x14ac:dyDescent="0.25">
      <c r="A26" s="1" t="s">
        <v>36</v>
      </c>
      <c r="B26" s="1" t="s">
        <v>16</v>
      </c>
      <c r="C26" s="1" t="s">
        <v>30</v>
      </c>
      <c r="D26" s="1" t="s">
        <v>18</v>
      </c>
      <c r="E26" s="1">
        <v>1460.74</v>
      </c>
      <c r="F26" s="1">
        <v>275</v>
      </c>
      <c r="G26" s="1">
        <v>16220</v>
      </c>
      <c r="H26" s="1">
        <v>5.311782</v>
      </c>
      <c r="I26" s="1">
        <v>1.6954E-2</v>
      </c>
      <c r="J26" s="1">
        <v>90.057952999999998</v>
      </c>
      <c r="K26" s="1">
        <v>0</v>
      </c>
      <c r="L26" s="1">
        <v>0</v>
      </c>
      <c r="M26" s="1" t="s">
        <v>31</v>
      </c>
      <c r="N26" s="1" t="s">
        <v>31</v>
      </c>
      <c r="O26" s="1" t="s">
        <v>31</v>
      </c>
      <c r="P26" s="2">
        <f t="shared" si="0"/>
        <v>0</v>
      </c>
      <c r="Q26" s="2">
        <f t="shared" si="1"/>
        <v>0</v>
      </c>
    </row>
    <row r="27" spans="1:17" ht="12.5" x14ac:dyDescent="0.25">
      <c r="A27" s="1" t="s">
        <v>37</v>
      </c>
      <c r="B27" s="1" t="s">
        <v>16</v>
      </c>
      <c r="C27" s="1" t="s">
        <v>30</v>
      </c>
      <c r="D27" s="1" t="s">
        <v>18</v>
      </c>
      <c r="E27" s="1">
        <v>1603.62</v>
      </c>
      <c r="F27" s="1">
        <v>266</v>
      </c>
      <c r="G27" s="1">
        <v>16828</v>
      </c>
      <c r="H27" s="1">
        <v>6.0286470000000003</v>
      </c>
      <c r="I27" s="1">
        <v>1.5807000000000002E-2</v>
      </c>
      <c r="J27" s="1">
        <v>95.294747000000001</v>
      </c>
      <c r="K27" s="1">
        <v>0.87</v>
      </c>
      <c r="L27" s="1">
        <v>1746.1332</v>
      </c>
      <c r="M27" s="1" t="s">
        <v>31</v>
      </c>
      <c r="N27" s="1" t="s">
        <v>31</v>
      </c>
      <c r="O27" s="1" t="s">
        <v>31</v>
      </c>
      <c r="P27" s="2">
        <f t="shared" si="0"/>
        <v>4.9824377659161393E-4</v>
      </c>
      <c r="Q27" s="2">
        <f t="shared" si="1"/>
        <v>1843.2413793103447</v>
      </c>
    </row>
    <row r="28" spans="1:17" ht="12.5" x14ac:dyDescent="0.25">
      <c r="A28" s="1" t="s">
        <v>38</v>
      </c>
      <c r="B28" s="1" t="s">
        <v>16</v>
      </c>
      <c r="C28" s="1" t="s">
        <v>30</v>
      </c>
      <c r="D28" s="1" t="s">
        <v>18</v>
      </c>
      <c r="E28" s="1">
        <v>998.48818200000005</v>
      </c>
      <c r="F28" s="1">
        <v>189</v>
      </c>
      <c r="G28" s="1">
        <v>10459</v>
      </c>
      <c r="H28" s="1">
        <v>5.2830060000000003</v>
      </c>
      <c r="I28" s="1">
        <v>1.8071E-2</v>
      </c>
      <c r="J28" s="1">
        <v>95.466887999999997</v>
      </c>
      <c r="K28" s="1">
        <v>0</v>
      </c>
      <c r="L28" s="1">
        <v>0</v>
      </c>
      <c r="M28" s="1" t="s">
        <v>31</v>
      </c>
      <c r="N28" s="1" t="s">
        <v>31</v>
      </c>
      <c r="O28" s="1" t="s">
        <v>31</v>
      </c>
      <c r="P28" s="2">
        <f t="shared" si="0"/>
        <v>0</v>
      </c>
      <c r="Q28" s="2">
        <f t="shared" si="1"/>
        <v>0</v>
      </c>
    </row>
    <row r="29" spans="1:17" ht="12.5" x14ac:dyDescent="0.25">
      <c r="A29" s="1" t="s">
        <v>34</v>
      </c>
      <c r="B29" s="1" t="s">
        <v>16</v>
      </c>
      <c r="C29" s="1" t="s">
        <v>39</v>
      </c>
      <c r="D29" s="1" t="s">
        <v>18</v>
      </c>
      <c r="E29" s="1">
        <v>1104.32</v>
      </c>
      <c r="F29" s="1">
        <v>401</v>
      </c>
      <c r="G29" s="1">
        <v>17756</v>
      </c>
      <c r="H29" s="1">
        <v>2.7539150000000001</v>
      </c>
      <c r="I29" s="1">
        <v>2.2584E-2</v>
      </c>
      <c r="J29" s="1">
        <v>62.194187999999997</v>
      </c>
      <c r="K29" s="1">
        <v>0</v>
      </c>
      <c r="L29" s="1">
        <v>0</v>
      </c>
      <c r="M29" s="1" t="s">
        <v>31</v>
      </c>
      <c r="N29" s="1" t="s">
        <v>31</v>
      </c>
      <c r="O29" s="1" t="s">
        <v>31</v>
      </c>
      <c r="P29" s="2">
        <f t="shared" si="0"/>
        <v>0</v>
      </c>
      <c r="Q29" s="2">
        <f t="shared" si="1"/>
        <v>0</v>
      </c>
    </row>
    <row r="30" spans="1:17" ht="12.5" x14ac:dyDescent="0.25">
      <c r="A30" s="1" t="s">
        <v>35</v>
      </c>
      <c r="B30" s="1" t="s">
        <v>16</v>
      </c>
      <c r="C30" s="1" t="s">
        <v>39</v>
      </c>
      <c r="D30" s="1" t="s">
        <v>18</v>
      </c>
      <c r="E30" s="1">
        <v>1476.7645970000001</v>
      </c>
      <c r="F30" s="1">
        <v>896</v>
      </c>
      <c r="G30" s="1">
        <v>25031</v>
      </c>
      <c r="H30" s="1">
        <v>1.6481749999999999</v>
      </c>
      <c r="I30" s="1">
        <v>3.5796000000000001E-2</v>
      </c>
      <c r="J30" s="1">
        <v>58.997427000000002</v>
      </c>
      <c r="K30" s="1">
        <v>0</v>
      </c>
      <c r="L30" s="1">
        <v>0</v>
      </c>
      <c r="M30" s="1" t="s">
        <v>31</v>
      </c>
      <c r="N30" s="1" t="s">
        <v>31</v>
      </c>
      <c r="O30" s="1" t="s">
        <v>31</v>
      </c>
      <c r="P30" s="2">
        <f t="shared" si="0"/>
        <v>0</v>
      </c>
      <c r="Q30" s="2">
        <f t="shared" si="1"/>
        <v>0</v>
      </c>
    </row>
    <row r="31" spans="1:17" ht="12.5" x14ac:dyDescent="0.25">
      <c r="A31" s="1" t="s">
        <v>36</v>
      </c>
      <c r="B31" s="1" t="s">
        <v>16</v>
      </c>
      <c r="C31" s="1" t="s">
        <v>39</v>
      </c>
      <c r="D31" s="1" t="s">
        <v>18</v>
      </c>
      <c r="E31" s="1">
        <v>2519.8435549999999</v>
      </c>
      <c r="F31" s="1">
        <v>690</v>
      </c>
      <c r="G31" s="1">
        <v>37504</v>
      </c>
      <c r="H31" s="1">
        <v>3.6519469999999998</v>
      </c>
      <c r="I31" s="1">
        <v>1.8398000000000001E-2</v>
      </c>
      <c r="J31" s="1">
        <v>67.188660999999996</v>
      </c>
      <c r="K31" s="1">
        <v>0</v>
      </c>
      <c r="L31" s="1">
        <v>0</v>
      </c>
      <c r="M31" s="1" t="s">
        <v>31</v>
      </c>
      <c r="N31" s="1" t="s">
        <v>31</v>
      </c>
      <c r="O31" s="1" t="s">
        <v>31</v>
      </c>
      <c r="P31" s="2">
        <f t="shared" si="0"/>
        <v>0</v>
      </c>
      <c r="Q31" s="2">
        <f t="shared" si="1"/>
        <v>0</v>
      </c>
    </row>
    <row r="32" spans="1:17" ht="12.5" x14ac:dyDescent="0.25">
      <c r="A32" s="1" t="s">
        <v>37</v>
      </c>
      <c r="B32" s="1" t="s">
        <v>16</v>
      </c>
      <c r="C32" s="1" t="s">
        <v>39</v>
      </c>
      <c r="D32" s="1" t="s">
        <v>18</v>
      </c>
      <c r="E32" s="1">
        <v>1509.534048</v>
      </c>
      <c r="F32" s="1">
        <v>472</v>
      </c>
      <c r="G32" s="1">
        <v>26769</v>
      </c>
      <c r="H32" s="1">
        <v>3.1981649999999999</v>
      </c>
      <c r="I32" s="1">
        <v>1.7631999999999998E-2</v>
      </c>
      <c r="J32" s="1">
        <v>56.391126</v>
      </c>
      <c r="K32" s="1">
        <v>0</v>
      </c>
      <c r="L32" s="1">
        <v>0</v>
      </c>
      <c r="M32" s="1" t="s">
        <v>31</v>
      </c>
      <c r="N32" s="1" t="s">
        <v>31</v>
      </c>
      <c r="O32" s="1" t="s">
        <v>31</v>
      </c>
      <c r="P32" s="2">
        <f t="shared" si="0"/>
        <v>0</v>
      </c>
      <c r="Q32" s="2">
        <f t="shared" si="1"/>
        <v>0</v>
      </c>
    </row>
    <row r="33" spans="1:17" ht="12.5" x14ac:dyDescent="0.25">
      <c r="A33" s="1" t="s">
        <v>38</v>
      </c>
      <c r="B33" s="1" t="s">
        <v>16</v>
      </c>
      <c r="C33" s="1" t="s">
        <v>39</v>
      </c>
      <c r="D33" s="1" t="s">
        <v>18</v>
      </c>
      <c r="E33" s="1">
        <v>669.13768800000003</v>
      </c>
      <c r="F33" s="1">
        <v>155</v>
      </c>
      <c r="G33" s="1">
        <v>9916</v>
      </c>
      <c r="H33" s="1">
        <v>4.3170169999999999</v>
      </c>
      <c r="I33" s="1">
        <v>1.5630999999999999E-2</v>
      </c>
      <c r="J33" s="1">
        <v>67.480605999999995</v>
      </c>
      <c r="K33" s="1">
        <v>0</v>
      </c>
      <c r="L33" s="1">
        <v>0</v>
      </c>
      <c r="M33" s="1" t="s">
        <v>31</v>
      </c>
      <c r="N33" s="1" t="s">
        <v>31</v>
      </c>
      <c r="O33" s="1" t="s">
        <v>31</v>
      </c>
      <c r="P33" s="2">
        <f t="shared" si="0"/>
        <v>0</v>
      </c>
      <c r="Q33" s="2">
        <f t="shared" si="1"/>
        <v>0</v>
      </c>
    </row>
    <row r="34" spans="1:17" ht="12.5" x14ac:dyDescent="0.25">
      <c r="A34" s="3">
        <v>46025</v>
      </c>
      <c r="B34" s="1" t="s">
        <v>16</v>
      </c>
      <c r="C34" s="1" t="s">
        <v>40</v>
      </c>
      <c r="D34" s="1" t="s">
        <v>41</v>
      </c>
      <c r="E34" s="1">
        <v>0</v>
      </c>
      <c r="F34" s="1">
        <v>2</v>
      </c>
      <c r="G34" s="1">
        <v>2</v>
      </c>
      <c r="H34" s="1">
        <v>0</v>
      </c>
      <c r="I34" s="1">
        <v>1</v>
      </c>
      <c r="J34" s="1">
        <v>0</v>
      </c>
      <c r="K34" s="1">
        <v>0</v>
      </c>
      <c r="L34" s="1">
        <v>0</v>
      </c>
      <c r="M34" s="1" t="s">
        <v>31</v>
      </c>
      <c r="N34" s="1" t="s">
        <v>31</v>
      </c>
      <c r="O34" s="1" t="s">
        <v>31</v>
      </c>
      <c r="P34" s="2">
        <f t="shared" si="0"/>
        <v>0</v>
      </c>
      <c r="Q34" s="2">
        <f t="shared" si="1"/>
        <v>0</v>
      </c>
    </row>
    <row r="35" spans="1:17" ht="12.5" x14ac:dyDescent="0.25">
      <c r="A35" s="3">
        <v>46176</v>
      </c>
      <c r="B35" s="1" t="s">
        <v>16</v>
      </c>
      <c r="C35" s="1" t="s">
        <v>40</v>
      </c>
      <c r="D35" s="1" t="s">
        <v>41</v>
      </c>
      <c r="E35" s="1">
        <v>97.433475000000001</v>
      </c>
      <c r="F35" s="1">
        <v>21</v>
      </c>
      <c r="G35" s="1">
        <v>37</v>
      </c>
      <c r="H35" s="1">
        <v>4.6396889999999997</v>
      </c>
      <c r="I35" s="1">
        <v>0.56756799999999996</v>
      </c>
      <c r="J35" s="1">
        <v>2633.3371619999998</v>
      </c>
      <c r="K35" s="1">
        <v>0</v>
      </c>
      <c r="L35" s="1">
        <v>0</v>
      </c>
      <c r="M35" s="1" t="s">
        <v>31</v>
      </c>
      <c r="N35" s="1" t="s">
        <v>31</v>
      </c>
      <c r="O35" s="1" t="s">
        <v>31</v>
      </c>
      <c r="P35" s="2">
        <f t="shared" si="0"/>
        <v>0</v>
      </c>
      <c r="Q35" s="2">
        <f t="shared" si="1"/>
        <v>0</v>
      </c>
    </row>
    <row r="36" spans="1:17" ht="12.5" x14ac:dyDescent="0.25">
      <c r="A36" s="3">
        <v>46206</v>
      </c>
      <c r="B36" s="1" t="s">
        <v>16</v>
      </c>
      <c r="C36" s="1" t="s">
        <v>40</v>
      </c>
      <c r="D36" s="1" t="s">
        <v>41</v>
      </c>
      <c r="E36" s="1">
        <v>414.23577299999999</v>
      </c>
      <c r="F36" s="1">
        <v>38</v>
      </c>
      <c r="G36" s="1">
        <v>67</v>
      </c>
      <c r="H36" s="1">
        <v>10.900941</v>
      </c>
      <c r="I36" s="1">
        <v>0.567164</v>
      </c>
      <c r="J36" s="1">
        <v>6182.6234780000004</v>
      </c>
      <c r="K36" s="1">
        <v>0</v>
      </c>
      <c r="L36" s="1">
        <v>0</v>
      </c>
      <c r="M36" s="1" t="s">
        <v>31</v>
      </c>
      <c r="N36" s="1" t="s">
        <v>31</v>
      </c>
      <c r="O36" s="1" t="s">
        <v>31</v>
      </c>
      <c r="P36" s="2">
        <f t="shared" si="0"/>
        <v>0</v>
      </c>
      <c r="Q36" s="2">
        <f t="shared" si="1"/>
        <v>0</v>
      </c>
    </row>
    <row r="37" spans="1:17" ht="12.5" x14ac:dyDescent="0.25">
      <c r="A37" s="3">
        <v>46237</v>
      </c>
      <c r="B37" s="1" t="s">
        <v>16</v>
      </c>
      <c r="C37" s="1" t="s">
        <v>40</v>
      </c>
      <c r="D37" s="1" t="s">
        <v>41</v>
      </c>
      <c r="E37" s="1">
        <v>248.29442499999999</v>
      </c>
      <c r="F37" s="1">
        <v>31</v>
      </c>
      <c r="G37" s="1">
        <v>50</v>
      </c>
      <c r="H37" s="1">
        <v>8.0094980000000007</v>
      </c>
      <c r="I37" s="1">
        <v>0.62</v>
      </c>
      <c r="J37" s="1">
        <v>4965.8885</v>
      </c>
      <c r="K37" s="1">
        <v>0</v>
      </c>
      <c r="L37" s="1">
        <v>0</v>
      </c>
      <c r="M37" s="1" t="s">
        <v>31</v>
      </c>
      <c r="N37" s="1" t="s">
        <v>31</v>
      </c>
      <c r="O37" s="1" t="s">
        <v>31</v>
      </c>
      <c r="P37" s="2">
        <f t="shared" si="0"/>
        <v>0</v>
      </c>
      <c r="Q37" s="2">
        <f t="shared" si="1"/>
        <v>0</v>
      </c>
    </row>
    <row r="38" spans="1:17" ht="12.5" x14ac:dyDescent="0.25">
      <c r="A38" s="3">
        <v>46268</v>
      </c>
      <c r="B38" s="1" t="s">
        <v>16</v>
      </c>
      <c r="C38" s="1" t="s">
        <v>40</v>
      </c>
      <c r="D38" s="1" t="s">
        <v>41</v>
      </c>
      <c r="E38" s="1">
        <v>428.02695</v>
      </c>
      <c r="F38" s="1">
        <v>47</v>
      </c>
      <c r="G38" s="1">
        <v>67</v>
      </c>
      <c r="H38" s="1">
        <v>9.1069560000000003</v>
      </c>
      <c r="I38" s="1">
        <v>0.70149300000000003</v>
      </c>
      <c r="J38" s="1">
        <v>6388.4619400000001</v>
      </c>
      <c r="K38" s="1">
        <v>0</v>
      </c>
      <c r="L38" s="1">
        <v>0</v>
      </c>
      <c r="M38" s="1" t="s">
        <v>31</v>
      </c>
      <c r="N38" s="1" t="s">
        <v>31</v>
      </c>
      <c r="O38" s="1" t="s">
        <v>31</v>
      </c>
      <c r="P38" s="2">
        <f t="shared" si="0"/>
        <v>0</v>
      </c>
      <c r="Q38" s="2">
        <f t="shared" si="1"/>
        <v>0</v>
      </c>
    </row>
    <row r="39" spans="1:17" ht="12.5" x14ac:dyDescent="0.25">
      <c r="A39" s="3">
        <v>46298</v>
      </c>
      <c r="B39" s="1" t="s">
        <v>16</v>
      </c>
      <c r="C39" s="1" t="s">
        <v>40</v>
      </c>
      <c r="D39" s="1" t="s">
        <v>41</v>
      </c>
      <c r="E39" s="1">
        <v>410.271546</v>
      </c>
      <c r="F39" s="1">
        <v>45</v>
      </c>
      <c r="G39" s="1">
        <v>73</v>
      </c>
      <c r="H39" s="1">
        <v>9.1171450000000007</v>
      </c>
      <c r="I39" s="1">
        <v>0.61643800000000004</v>
      </c>
      <c r="J39" s="1">
        <v>5620.1581640000004</v>
      </c>
      <c r="K39" s="1">
        <v>0</v>
      </c>
      <c r="L39" s="1">
        <v>0</v>
      </c>
      <c r="M39" s="1" t="s">
        <v>31</v>
      </c>
      <c r="N39" s="1" t="s">
        <v>31</v>
      </c>
      <c r="O39" s="1" t="s">
        <v>31</v>
      </c>
      <c r="P39" s="2">
        <f t="shared" si="0"/>
        <v>0</v>
      </c>
      <c r="Q39" s="2">
        <f t="shared" si="1"/>
        <v>0</v>
      </c>
    </row>
    <row r="40" spans="1:17" ht="12.5" x14ac:dyDescent="0.25">
      <c r="A40" s="3">
        <v>46329</v>
      </c>
      <c r="B40" s="1" t="s">
        <v>16</v>
      </c>
      <c r="C40" s="1" t="s">
        <v>40</v>
      </c>
      <c r="D40" s="1" t="s">
        <v>41</v>
      </c>
      <c r="E40" s="1">
        <v>90.001495000000006</v>
      </c>
      <c r="F40" s="1">
        <v>45</v>
      </c>
      <c r="G40" s="1">
        <v>70</v>
      </c>
      <c r="H40" s="1">
        <v>2.0000330000000002</v>
      </c>
      <c r="I40" s="1">
        <v>0.64285700000000001</v>
      </c>
      <c r="J40" s="1">
        <v>1285.735643</v>
      </c>
      <c r="K40" s="1">
        <v>0</v>
      </c>
      <c r="L40" s="1">
        <v>0</v>
      </c>
      <c r="M40" s="1" t="s">
        <v>31</v>
      </c>
      <c r="N40" s="1" t="s">
        <v>31</v>
      </c>
      <c r="O40" s="1" t="s">
        <v>31</v>
      </c>
      <c r="P40" s="2">
        <f t="shared" si="0"/>
        <v>0</v>
      </c>
      <c r="Q40" s="2">
        <f t="shared" si="1"/>
        <v>0</v>
      </c>
    </row>
    <row r="41" spans="1:17" ht="12.5" x14ac:dyDescent="0.25">
      <c r="A41" s="3">
        <v>46359</v>
      </c>
      <c r="B41" s="1" t="s">
        <v>16</v>
      </c>
      <c r="C41" s="1" t="s">
        <v>40</v>
      </c>
      <c r="D41" s="1" t="s">
        <v>41</v>
      </c>
      <c r="E41" s="1">
        <v>145.47781000000001</v>
      </c>
      <c r="F41" s="1">
        <v>41</v>
      </c>
      <c r="G41" s="1">
        <v>75</v>
      </c>
      <c r="H41" s="1">
        <v>3.5482390000000001</v>
      </c>
      <c r="I41" s="1">
        <v>0.54666700000000001</v>
      </c>
      <c r="J41" s="1">
        <v>1939.704133</v>
      </c>
      <c r="K41" s="1">
        <v>0</v>
      </c>
      <c r="L41" s="1">
        <v>0</v>
      </c>
      <c r="M41" s="1" t="s">
        <v>31</v>
      </c>
      <c r="N41" s="1" t="s">
        <v>31</v>
      </c>
      <c r="O41" s="1" t="s">
        <v>31</v>
      </c>
      <c r="P41" s="2">
        <f t="shared" si="0"/>
        <v>0</v>
      </c>
      <c r="Q41" s="2">
        <f t="shared" si="1"/>
        <v>0</v>
      </c>
    </row>
    <row r="42" spans="1:17" ht="12.5" x14ac:dyDescent="0.25">
      <c r="A42" s="1" t="s">
        <v>15</v>
      </c>
      <c r="B42" s="1" t="s">
        <v>16</v>
      </c>
      <c r="C42" s="1" t="s">
        <v>40</v>
      </c>
      <c r="D42" s="1" t="s">
        <v>41</v>
      </c>
      <c r="E42" s="1">
        <v>103.92801300000001</v>
      </c>
      <c r="F42" s="1">
        <v>50</v>
      </c>
      <c r="G42" s="1">
        <v>74</v>
      </c>
      <c r="H42" s="1">
        <v>2.07856</v>
      </c>
      <c r="I42" s="1">
        <v>0.67567600000000005</v>
      </c>
      <c r="J42" s="1">
        <v>1404.4326080000001</v>
      </c>
      <c r="K42" s="1">
        <v>0</v>
      </c>
      <c r="L42" s="1">
        <v>0</v>
      </c>
      <c r="M42" s="1" t="s">
        <v>31</v>
      </c>
      <c r="N42" s="1" t="s">
        <v>31</v>
      </c>
      <c r="O42" s="1" t="s">
        <v>31</v>
      </c>
      <c r="P42" s="2">
        <f t="shared" si="0"/>
        <v>0</v>
      </c>
      <c r="Q42" s="2">
        <f t="shared" si="1"/>
        <v>0</v>
      </c>
    </row>
    <row r="43" spans="1:17" ht="12.5" x14ac:dyDescent="0.25">
      <c r="A43" s="1" t="s">
        <v>21</v>
      </c>
      <c r="B43" s="1" t="s">
        <v>16</v>
      </c>
      <c r="C43" s="1" t="s">
        <v>40</v>
      </c>
      <c r="D43" s="1" t="s">
        <v>41</v>
      </c>
      <c r="E43" s="1">
        <v>124.166534</v>
      </c>
      <c r="F43" s="1">
        <v>22</v>
      </c>
      <c r="G43" s="1">
        <v>44</v>
      </c>
      <c r="H43" s="1">
        <v>5.6439329999999996</v>
      </c>
      <c r="I43" s="1">
        <v>0.5</v>
      </c>
      <c r="J43" s="1">
        <v>2821.9666820000002</v>
      </c>
      <c r="K43" s="1">
        <v>0</v>
      </c>
      <c r="L43" s="1">
        <v>0</v>
      </c>
      <c r="M43" s="1" t="s">
        <v>31</v>
      </c>
      <c r="N43" s="1" t="s">
        <v>31</v>
      </c>
      <c r="O43" s="1" t="s">
        <v>31</v>
      </c>
      <c r="P43" s="2">
        <f t="shared" si="0"/>
        <v>0</v>
      </c>
      <c r="Q43" s="2">
        <f t="shared" si="1"/>
        <v>0</v>
      </c>
    </row>
    <row r="44" spans="1:17" ht="12.5" x14ac:dyDescent="0.25">
      <c r="A44" s="1" t="s">
        <v>22</v>
      </c>
      <c r="B44" s="1" t="s">
        <v>16</v>
      </c>
      <c r="C44" s="1" t="s">
        <v>40</v>
      </c>
      <c r="D44" s="1" t="s">
        <v>41</v>
      </c>
      <c r="E44" s="1">
        <v>669.02726800000005</v>
      </c>
      <c r="F44" s="1">
        <v>32</v>
      </c>
      <c r="G44" s="1">
        <v>41</v>
      </c>
      <c r="H44" s="1">
        <v>20.907101999999998</v>
      </c>
      <c r="I44" s="1">
        <v>0.78048799999999996</v>
      </c>
      <c r="J44" s="1">
        <v>16317.738240000001</v>
      </c>
      <c r="K44" s="1">
        <v>0</v>
      </c>
      <c r="L44" s="1">
        <v>0</v>
      </c>
      <c r="M44" s="1" t="s">
        <v>31</v>
      </c>
      <c r="N44" s="1" t="s">
        <v>31</v>
      </c>
      <c r="O44" s="1" t="s">
        <v>31</v>
      </c>
      <c r="P44" s="2">
        <f t="shared" si="0"/>
        <v>0</v>
      </c>
      <c r="Q44" s="2">
        <f t="shared" si="1"/>
        <v>0</v>
      </c>
    </row>
    <row r="45" spans="1:17" ht="12.5" x14ac:dyDescent="0.25">
      <c r="A45" s="1" t="s">
        <v>23</v>
      </c>
      <c r="B45" s="1" t="s">
        <v>16</v>
      </c>
      <c r="C45" s="1" t="s">
        <v>40</v>
      </c>
      <c r="D45" s="1" t="s">
        <v>41</v>
      </c>
      <c r="E45" s="1">
        <v>340.52</v>
      </c>
      <c r="F45" s="1">
        <v>40</v>
      </c>
      <c r="G45" s="1">
        <v>70</v>
      </c>
      <c r="H45" s="1">
        <v>8.5129999999999999</v>
      </c>
      <c r="I45" s="1">
        <v>0.57142899999999996</v>
      </c>
      <c r="J45" s="1">
        <v>4864.5714289999996</v>
      </c>
      <c r="K45" s="1">
        <v>0</v>
      </c>
      <c r="L45" s="1">
        <v>0</v>
      </c>
      <c r="M45" s="1" t="s">
        <v>31</v>
      </c>
      <c r="N45" s="1" t="s">
        <v>31</v>
      </c>
      <c r="O45" s="1" t="s">
        <v>31</v>
      </c>
      <c r="P45" s="2">
        <f t="shared" si="0"/>
        <v>0</v>
      </c>
      <c r="Q45" s="2">
        <f t="shared" si="1"/>
        <v>0</v>
      </c>
    </row>
    <row r="46" spans="1:17" ht="12.5" x14ac:dyDescent="0.25">
      <c r="A46" s="1" t="s">
        <v>24</v>
      </c>
      <c r="B46" s="1" t="s">
        <v>16</v>
      </c>
      <c r="C46" s="1" t="s">
        <v>40</v>
      </c>
      <c r="D46" s="1" t="s">
        <v>41</v>
      </c>
      <c r="E46" s="1">
        <v>74.964782999999997</v>
      </c>
      <c r="F46" s="1">
        <v>27</v>
      </c>
      <c r="G46" s="1">
        <v>61</v>
      </c>
      <c r="H46" s="1">
        <v>2.7764730000000002</v>
      </c>
      <c r="I46" s="1">
        <v>0.44262299999999999</v>
      </c>
      <c r="J46" s="1">
        <v>1228.930869</v>
      </c>
      <c r="K46" s="1">
        <v>0</v>
      </c>
      <c r="L46" s="1">
        <v>0</v>
      </c>
      <c r="M46" s="1" t="s">
        <v>31</v>
      </c>
      <c r="N46" s="1" t="s">
        <v>31</v>
      </c>
      <c r="O46" s="1" t="s">
        <v>31</v>
      </c>
      <c r="P46" s="2">
        <f t="shared" si="0"/>
        <v>0</v>
      </c>
      <c r="Q46" s="2">
        <f t="shared" si="1"/>
        <v>0</v>
      </c>
    </row>
    <row r="47" spans="1:17" ht="12.5" x14ac:dyDescent="0.25">
      <c r="A47" s="1" t="s">
        <v>25</v>
      </c>
      <c r="B47" s="1" t="s">
        <v>16</v>
      </c>
      <c r="C47" s="1" t="s">
        <v>40</v>
      </c>
      <c r="D47" s="1" t="s">
        <v>41</v>
      </c>
      <c r="E47" s="1">
        <v>0.34</v>
      </c>
      <c r="F47" s="1">
        <v>1</v>
      </c>
      <c r="G47" s="1">
        <v>4</v>
      </c>
      <c r="H47" s="1">
        <v>0.34</v>
      </c>
      <c r="I47" s="1">
        <v>0.25</v>
      </c>
      <c r="J47" s="1">
        <v>85</v>
      </c>
      <c r="K47" s="1">
        <v>0</v>
      </c>
      <c r="L47" s="1">
        <v>0</v>
      </c>
      <c r="M47" s="1" t="s">
        <v>31</v>
      </c>
      <c r="N47" s="1" t="s">
        <v>31</v>
      </c>
      <c r="O47" s="1" t="s">
        <v>31</v>
      </c>
      <c r="P47" s="2">
        <f t="shared" si="0"/>
        <v>0</v>
      </c>
      <c r="Q47" s="2">
        <f t="shared" si="1"/>
        <v>0</v>
      </c>
    </row>
    <row r="48" spans="1:17" ht="12.5" x14ac:dyDescent="0.25">
      <c r="A48" s="1" t="s">
        <v>26</v>
      </c>
      <c r="B48" s="1" t="s">
        <v>16</v>
      </c>
      <c r="C48" s="1" t="s">
        <v>40</v>
      </c>
      <c r="D48" s="1" t="s">
        <v>41</v>
      </c>
      <c r="E48" s="1">
        <v>44.345773000000001</v>
      </c>
      <c r="F48" s="1">
        <v>25</v>
      </c>
      <c r="G48" s="1">
        <v>35</v>
      </c>
      <c r="H48" s="1">
        <v>1.7738309999999999</v>
      </c>
      <c r="I48" s="1">
        <v>0.71428599999999998</v>
      </c>
      <c r="J48" s="1">
        <v>1267.0220859999999</v>
      </c>
      <c r="K48" s="1">
        <v>0</v>
      </c>
      <c r="L48" s="1">
        <v>0</v>
      </c>
      <c r="M48" s="1" t="s">
        <v>31</v>
      </c>
      <c r="N48" s="1" t="s">
        <v>31</v>
      </c>
      <c r="O48" s="1" t="s">
        <v>31</v>
      </c>
      <c r="P48" s="2">
        <f t="shared" si="0"/>
        <v>0</v>
      </c>
      <c r="Q48" s="2">
        <f t="shared" si="1"/>
        <v>0</v>
      </c>
    </row>
    <row r="49" spans="1:17" ht="12.5" x14ac:dyDescent="0.25">
      <c r="A49" s="1" t="s">
        <v>27</v>
      </c>
      <c r="B49" s="1" t="s">
        <v>16</v>
      </c>
      <c r="C49" s="1" t="s">
        <v>40</v>
      </c>
      <c r="D49" s="1" t="s">
        <v>41</v>
      </c>
      <c r="E49" s="1">
        <v>245.69</v>
      </c>
      <c r="F49" s="1">
        <v>49</v>
      </c>
      <c r="G49" s="1">
        <v>63</v>
      </c>
      <c r="H49" s="1">
        <v>5.0140820000000001</v>
      </c>
      <c r="I49" s="1">
        <v>0.77777799999999997</v>
      </c>
      <c r="J49" s="1">
        <v>3899.8412699999999</v>
      </c>
      <c r="K49" s="1">
        <v>1</v>
      </c>
      <c r="L49" s="1">
        <v>8369.5</v>
      </c>
      <c r="M49" s="1" t="s">
        <v>31</v>
      </c>
      <c r="N49" s="1" t="s">
        <v>31</v>
      </c>
      <c r="O49" s="1" t="s">
        <v>31</v>
      </c>
      <c r="P49" s="2">
        <f t="shared" si="0"/>
        <v>1.1948145050480913E-4</v>
      </c>
      <c r="Q49" s="2">
        <f t="shared" si="1"/>
        <v>245.69</v>
      </c>
    </row>
    <row r="50" spans="1:17" ht="12.5" x14ac:dyDescent="0.25">
      <c r="A50" s="1" t="s">
        <v>28</v>
      </c>
      <c r="B50" s="1" t="s">
        <v>16</v>
      </c>
      <c r="C50" s="1" t="s">
        <v>40</v>
      </c>
      <c r="D50" s="1" t="s">
        <v>41</v>
      </c>
      <c r="E50" s="1">
        <v>73.159047999999999</v>
      </c>
      <c r="F50" s="1">
        <v>41</v>
      </c>
      <c r="G50" s="1">
        <v>70</v>
      </c>
      <c r="H50" s="1">
        <v>1.784367</v>
      </c>
      <c r="I50" s="1">
        <v>0.58571399999999996</v>
      </c>
      <c r="J50" s="1">
        <v>1045.1292570000001</v>
      </c>
      <c r="K50" s="1">
        <v>0</v>
      </c>
      <c r="L50" s="1">
        <v>0</v>
      </c>
      <c r="M50" s="1" t="s">
        <v>31</v>
      </c>
      <c r="N50" s="1" t="s">
        <v>31</v>
      </c>
      <c r="O50" s="1" t="s">
        <v>31</v>
      </c>
      <c r="P50" s="2">
        <f t="shared" si="0"/>
        <v>0</v>
      </c>
      <c r="Q50" s="2">
        <f t="shared" si="1"/>
        <v>0</v>
      </c>
    </row>
    <row r="51" spans="1:17" ht="12.5" x14ac:dyDescent="0.25">
      <c r="A51" s="1" t="s">
        <v>29</v>
      </c>
      <c r="B51" s="1" t="s">
        <v>16</v>
      </c>
      <c r="C51" s="1" t="s">
        <v>40</v>
      </c>
      <c r="D51" s="1" t="s">
        <v>41</v>
      </c>
      <c r="E51" s="1">
        <v>4.93</v>
      </c>
      <c r="F51" s="1">
        <v>13</v>
      </c>
      <c r="G51" s="1">
        <v>22</v>
      </c>
      <c r="H51" s="1">
        <v>0.37923099999999998</v>
      </c>
      <c r="I51" s="1">
        <v>0.59090900000000002</v>
      </c>
      <c r="J51" s="1">
        <v>224.09090900000001</v>
      </c>
      <c r="K51" s="1">
        <v>0</v>
      </c>
      <c r="L51" s="1">
        <v>0</v>
      </c>
      <c r="M51" s="1" t="s">
        <v>31</v>
      </c>
      <c r="N51" s="1" t="s">
        <v>31</v>
      </c>
      <c r="O51" s="1" t="s">
        <v>31</v>
      </c>
      <c r="P51" s="2">
        <f t="shared" si="0"/>
        <v>0</v>
      </c>
      <c r="Q51" s="2">
        <f t="shared" si="1"/>
        <v>0</v>
      </c>
    </row>
    <row r="52" spans="1:17" ht="12.5" x14ac:dyDescent="0.25">
      <c r="A52" s="1" t="s">
        <v>42</v>
      </c>
      <c r="B52" s="1" t="s">
        <v>16</v>
      </c>
      <c r="C52" s="1" t="s">
        <v>40</v>
      </c>
      <c r="D52" s="1" t="s">
        <v>41</v>
      </c>
      <c r="E52" s="1">
        <v>70.22</v>
      </c>
      <c r="F52" s="1">
        <v>17</v>
      </c>
      <c r="G52" s="1">
        <v>26</v>
      </c>
      <c r="H52" s="1">
        <v>4.1305880000000004</v>
      </c>
      <c r="I52" s="1">
        <v>0.65384600000000004</v>
      </c>
      <c r="J52" s="1">
        <v>2700.7692310000002</v>
      </c>
      <c r="K52" s="1">
        <v>0</v>
      </c>
      <c r="L52" s="1">
        <v>0</v>
      </c>
      <c r="M52" s="1" t="s">
        <v>31</v>
      </c>
      <c r="N52" s="1" t="s">
        <v>31</v>
      </c>
      <c r="O52" s="1" t="s">
        <v>31</v>
      </c>
      <c r="P52" s="2">
        <f t="shared" si="0"/>
        <v>0</v>
      </c>
      <c r="Q52" s="2">
        <f t="shared" si="1"/>
        <v>0</v>
      </c>
    </row>
    <row r="53" spans="1:17" ht="12.5" x14ac:dyDescent="0.25">
      <c r="A53" s="1" t="s">
        <v>34</v>
      </c>
      <c r="B53" s="1" t="s">
        <v>16</v>
      </c>
      <c r="C53" s="1" t="s">
        <v>40</v>
      </c>
      <c r="D53" s="1" t="s">
        <v>41</v>
      </c>
      <c r="E53" s="1">
        <v>191.289356</v>
      </c>
      <c r="F53" s="1">
        <v>29</v>
      </c>
      <c r="G53" s="1">
        <v>41</v>
      </c>
      <c r="H53" s="1">
        <v>6.5961850000000002</v>
      </c>
      <c r="I53" s="1">
        <v>0.70731699999999997</v>
      </c>
      <c r="J53" s="1">
        <v>4665.5940490000003</v>
      </c>
      <c r="K53" s="1">
        <v>0.04</v>
      </c>
      <c r="L53" s="1">
        <v>351.43549999999999</v>
      </c>
      <c r="M53" s="1" t="s">
        <v>31</v>
      </c>
      <c r="N53" s="1" t="s">
        <v>31</v>
      </c>
      <c r="O53" s="1" t="s">
        <v>31</v>
      </c>
      <c r="P53" s="2">
        <f t="shared" si="0"/>
        <v>1.1381889422098792E-4</v>
      </c>
      <c r="Q53" s="2">
        <f t="shared" si="1"/>
        <v>4782.2339000000002</v>
      </c>
    </row>
    <row r="54" spans="1:17" ht="12.5" x14ac:dyDescent="0.25">
      <c r="A54" s="1" t="s">
        <v>35</v>
      </c>
      <c r="B54" s="1" t="s">
        <v>16</v>
      </c>
      <c r="C54" s="1" t="s">
        <v>40</v>
      </c>
      <c r="D54" s="1" t="s">
        <v>41</v>
      </c>
      <c r="E54" s="1">
        <v>424.21695</v>
      </c>
      <c r="F54" s="1">
        <v>39</v>
      </c>
      <c r="G54" s="1">
        <v>58</v>
      </c>
      <c r="H54" s="1">
        <v>10.877357999999999</v>
      </c>
      <c r="I54" s="1">
        <v>0.67241399999999996</v>
      </c>
      <c r="J54" s="1">
        <v>7314.0853450000004</v>
      </c>
      <c r="K54" s="1">
        <v>0</v>
      </c>
      <c r="L54" s="1">
        <v>0</v>
      </c>
      <c r="M54" s="1" t="s">
        <v>31</v>
      </c>
      <c r="N54" s="1" t="s">
        <v>31</v>
      </c>
      <c r="O54" s="1" t="s">
        <v>31</v>
      </c>
      <c r="P54" s="2">
        <f t="shared" si="0"/>
        <v>0</v>
      </c>
      <c r="Q54" s="2">
        <f t="shared" si="1"/>
        <v>0</v>
      </c>
    </row>
    <row r="55" spans="1:17" ht="12.5" x14ac:dyDescent="0.25">
      <c r="A55" s="1" t="s">
        <v>36</v>
      </c>
      <c r="B55" s="1" t="s">
        <v>16</v>
      </c>
      <c r="C55" s="1" t="s">
        <v>40</v>
      </c>
      <c r="D55" s="1" t="s">
        <v>41</v>
      </c>
      <c r="E55" s="1">
        <v>48.373454000000002</v>
      </c>
      <c r="F55" s="1">
        <v>28</v>
      </c>
      <c r="G55" s="1">
        <v>48</v>
      </c>
      <c r="H55" s="1">
        <v>1.7276229999999999</v>
      </c>
      <c r="I55" s="1">
        <v>0.58333299999999999</v>
      </c>
      <c r="J55" s="1">
        <v>1007.780292</v>
      </c>
      <c r="K55" s="1">
        <v>0</v>
      </c>
      <c r="L55" s="1">
        <v>0</v>
      </c>
      <c r="M55" s="1" t="s">
        <v>31</v>
      </c>
      <c r="N55" s="1" t="s">
        <v>31</v>
      </c>
      <c r="O55" s="1" t="s">
        <v>31</v>
      </c>
      <c r="P55" s="2">
        <f t="shared" si="0"/>
        <v>0</v>
      </c>
      <c r="Q55" s="2">
        <f t="shared" si="1"/>
        <v>0</v>
      </c>
    </row>
    <row r="56" spans="1:17" ht="12.5" x14ac:dyDescent="0.25">
      <c r="A56" s="1" t="s">
        <v>37</v>
      </c>
      <c r="B56" s="1" t="s">
        <v>16</v>
      </c>
      <c r="C56" s="1" t="s">
        <v>40</v>
      </c>
      <c r="D56" s="1" t="s">
        <v>41</v>
      </c>
      <c r="E56" s="1">
        <v>190.78467699999999</v>
      </c>
      <c r="F56" s="1">
        <v>41</v>
      </c>
      <c r="G56" s="1">
        <v>70</v>
      </c>
      <c r="H56" s="1">
        <v>4.6532850000000003</v>
      </c>
      <c r="I56" s="1">
        <v>0.58571399999999996</v>
      </c>
      <c r="J56" s="1">
        <v>2725.4953860000001</v>
      </c>
      <c r="K56" s="1">
        <v>0</v>
      </c>
      <c r="L56" s="1">
        <v>0</v>
      </c>
      <c r="M56" s="1" t="s">
        <v>31</v>
      </c>
      <c r="N56" s="1" t="s">
        <v>31</v>
      </c>
      <c r="O56" s="1" t="s">
        <v>31</v>
      </c>
      <c r="P56" s="2">
        <f t="shared" si="0"/>
        <v>0</v>
      </c>
      <c r="Q56" s="2">
        <f t="shared" si="1"/>
        <v>0</v>
      </c>
    </row>
    <row r="57" spans="1:17" ht="12.5" x14ac:dyDescent="0.25">
      <c r="A57" s="1" t="s">
        <v>38</v>
      </c>
      <c r="B57" s="1" t="s">
        <v>16</v>
      </c>
      <c r="C57" s="1" t="s">
        <v>40</v>
      </c>
      <c r="D57" s="1" t="s">
        <v>41</v>
      </c>
      <c r="E57" s="1">
        <v>405.51</v>
      </c>
      <c r="F57" s="1">
        <v>58</v>
      </c>
      <c r="G57" s="1">
        <v>97</v>
      </c>
      <c r="H57" s="1">
        <v>6.9915520000000004</v>
      </c>
      <c r="I57" s="1">
        <v>0.59793799999999997</v>
      </c>
      <c r="J57" s="1">
        <v>4180.5154640000001</v>
      </c>
      <c r="K57" s="1">
        <v>0</v>
      </c>
      <c r="L57" s="1">
        <v>0</v>
      </c>
      <c r="M57" s="1" t="s">
        <v>31</v>
      </c>
      <c r="N57" s="1" t="s">
        <v>31</v>
      </c>
      <c r="O57" s="1" t="s">
        <v>31</v>
      </c>
      <c r="P57" s="2">
        <f t="shared" si="0"/>
        <v>0</v>
      </c>
      <c r="Q57" s="2">
        <f t="shared" si="1"/>
        <v>0</v>
      </c>
    </row>
    <row r="58" spans="1:17" ht="12.5" x14ac:dyDescent="0.25">
      <c r="A58" s="1" t="s">
        <v>15</v>
      </c>
      <c r="B58" s="1" t="s">
        <v>16</v>
      </c>
      <c r="C58" s="1" t="s">
        <v>17</v>
      </c>
      <c r="D58" s="1" t="s">
        <v>18</v>
      </c>
      <c r="E58" s="1">
        <v>2.0744349999999998</v>
      </c>
      <c r="F58" s="1">
        <v>1</v>
      </c>
      <c r="G58" s="1">
        <v>101</v>
      </c>
      <c r="H58" s="1">
        <v>2.0744349999999998</v>
      </c>
      <c r="I58" s="1">
        <v>9.9010000000000001E-3</v>
      </c>
      <c r="J58" s="1">
        <v>20.538959999999999</v>
      </c>
      <c r="K58" s="1">
        <v>0</v>
      </c>
      <c r="L58" s="1">
        <v>0</v>
      </c>
      <c r="M58" s="1" t="s">
        <v>43</v>
      </c>
      <c r="N58" s="1" t="s">
        <v>44</v>
      </c>
      <c r="O58" s="1" t="s">
        <v>44</v>
      </c>
      <c r="P58" s="2">
        <f t="shared" si="0"/>
        <v>0</v>
      </c>
      <c r="Q58" s="2">
        <f t="shared" si="1"/>
        <v>0</v>
      </c>
    </row>
    <row r="59" spans="1:17" ht="12.5" x14ac:dyDescent="0.25">
      <c r="A59" s="1" t="s">
        <v>21</v>
      </c>
      <c r="B59" s="1" t="s">
        <v>16</v>
      </c>
      <c r="C59" s="1" t="s">
        <v>17</v>
      </c>
      <c r="D59" s="1" t="s">
        <v>18</v>
      </c>
      <c r="E59" s="1">
        <v>2924.9267869999999</v>
      </c>
      <c r="F59" s="1">
        <v>13</v>
      </c>
      <c r="G59" s="1">
        <v>347</v>
      </c>
      <c r="H59" s="1">
        <v>224.99436800000001</v>
      </c>
      <c r="I59" s="1">
        <v>3.7463999999999997E-2</v>
      </c>
      <c r="J59" s="1">
        <v>8429.1838239999997</v>
      </c>
      <c r="K59" s="1">
        <v>0</v>
      </c>
      <c r="L59" s="1">
        <v>0</v>
      </c>
      <c r="M59" s="1" t="s">
        <v>43</v>
      </c>
      <c r="N59" s="1" t="s">
        <v>44</v>
      </c>
      <c r="O59" s="1" t="s">
        <v>44</v>
      </c>
      <c r="P59" s="2">
        <f t="shared" si="0"/>
        <v>0</v>
      </c>
      <c r="Q59" s="2">
        <f t="shared" si="1"/>
        <v>0</v>
      </c>
    </row>
    <row r="60" spans="1:17" ht="12.5" x14ac:dyDescent="0.25">
      <c r="A60" s="1" t="s">
        <v>22</v>
      </c>
      <c r="B60" s="1" t="s">
        <v>16</v>
      </c>
      <c r="C60" s="1" t="s">
        <v>17</v>
      </c>
      <c r="D60" s="1" t="s">
        <v>18</v>
      </c>
      <c r="E60" s="1">
        <v>1236.8702229999999</v>
      </c>
      <c r="F60" s="1">
        <v>13</v>
      </c>
      <c r="G60" s="1">
        <v>328</v>
      </c>
      <c r="H60" s="1">
        <v>95.143862999999996</v>
      </c>
      <c r="I60" s="1">
        <v>3.9634000000000003E-2</v>
      </c>
      <c r="J60" s="1">
        <v>3770.9458020000002</v>
      </c>
      <c r="K60" s="1">
        <v>0</v>
      </c>
      <c r="L60" s="1">
        <v>0</v>
      </c>
      <c r="M60" s="1" t="s">
        <v>43</v>
      </c>
      <c r="N60" s="1" t="s">
        <v>44</v>
      </c>
      <c r="O60" s="1" t="s">
        <v>44</v>
      </c>
      <c r="P60" s="2">
        <f t="shared" si="0"/>
        <v>0</v>
      </c>
      <c r="Q60" s="2">
        <f t="shared" si="1"/>
        <v>0</v>
      </c>
    </row>
    <row r="61" spans="1:17" ht="12.5" x14ac:dyDescent="0.25">
      <c r="A61" s="1" t="s">
        <v>23</v>
      </c>
      <c r="B61" s="1" t="s">
        <v>16</v>
      </c>
      <c r="C61" s="1" t="s">
        <v>17</v>
      </c>
      <c r="D61" s="1" t="s">
        <v>18</v>
      </c>
      <c r="E61" s="1">
        <v>1426.249405</v>
      </c>
      <c r="F61" s="1">
        <v>10</v>
      </c>
      <c r="G61" s="1">
        <v>188</v>
      </c>
      <c r="H61" s="1">
        <v>142.62494100000001</v>
      </c>
      <c r="I61" s="1">
        <v>5.3191000000000002E-2</v>
      </c>
      <c r="J61" s="1">
        <v>7586.4330049999999</v>
      </c>
      <c r="K61" s="1">
        <v>0</v>
      </c>
      <c r="L61" s="1">
        <v>0</v>
      </c>
      <c r="M61" s="1" t="s">
        <v>43</v>
      </c>
      <c r="N61" s="1" t="s">
        <v>44</v>
      </c>
      <c r="O61" s="1" t="s">
        <v>44</v>
      </c>
      <c r="P61" s="2">
        <f t="shared" si="0"/>
        <v>0</v>
      </c>
      <c r="Q61" s="2">
        <f t="shared" si="1"/>
        <v>0</v>
      </c>
    </row>
    <row r="62" spans="1:17" ht="12.5" x14ac:dyDescent="0.25">
      <c r="A62" s="1" t="s">
        <v>24</v>
      </c>
      <c r="B62" s="1" t="s">
        <v>16</v>
      </c>
      <c r="C62" s="1" t="s">
        <v>17</v>
      </c>
      <c r="D62" s="1" t="s">
        <v>18</v>
      </c>
      <c r="E62" s="1">
        <v>334.97</v>
      </c>
      <c r="F62" s="1">
        <v>8</v>
      </c>
      <c r="G62" s="1">
        <v>594</v>
      </c>
      <c r="H62" s="1">
        <v>41.871250000000003</v>
      </c>
      <c r="I62" s="1">
        <v>1.3468000000000001E-2</v>
      </c>
      <c r="J62" s="1">
        <v>563.92255899999998</v>
      </c>
      <c r="K62" s="1">
        <v>0</v>
      </c>
      <c r="L62" s="1">
        <v>0</v>
      </c>
      <c r="M62" s="1" t="s">
        <v>43</v>
      </c>
      <c r="N62" s="1" t="s">
        <v>44</v>
      </c>
      <c r="O62" s="1" t="s">
        <v>44</v>
      </c>
      <c r="P62" s="2">
        <f t="shared" si="0"/>
        <v>0</v>
      </c>
      <c r="Q62" s="2">
        <f t="shared" si="1"/>
        <v>0</v>
      </c>
    </row>
    <row r="63" spans="1:17" ht="12.5" x14ac:dyDescent="0.25">
      <c r="A63" s="1" t="s">
        <v>25</v>
      </c>
      <c r="B63" s="1" t="s">
        <v>16</v>
      </c>
      <c r="C63" s="1" t="s">
        <v>17</v>
      </c>
      <c r="D63" s="1" t="s">
        <v>18</v>
      </c>
      <c r="E63" s="1">
        <v>1360.93</v>
      </c>
      <c r="F63" s="1">
        <v>15</v>
      </c>
      <c r="G63" s="1">
        <v>1066</v>
      </c>
      <c r="H63" s="1">
        <v>90.728667000000002</v>
      </c>
      <c r="I63" s="1">
        <v>1.4071E-2</v>
      </c>
      <c r="J63" s="1">
        <v>1276.6697939999999</v>
      </c>
      <c r="K63" s="1">
        <v>0</v>
      </c>
      <c r="L63" s="1">
        <v>0</v>
      </c>
      <c r="M63" s="1" t="s">
        <v>43</v>
      </c>
      <c r="N63" s="1" t="s">
        <v>44</v>
      </c>
      <c r="O63" s="1" t="s">
        <v>44</v>
      </c>
      <c r="P63" s="2">
        <f t="shared" si="0"/>
        <v>0</v>
      </c>
      <c r="Q63" s="2">
        <f t="shared" si="1"/>
        <v>0</v>
      </c>
    </row>
    <row r="64" spans="1:17" ht="12.5" x14ac:dyDescent="0.25">
      <c r="A64" s="1" t="s">
        <v>26</v>
      </c>
      <c r="B64" s="1" t="s">
        <v>16</v>
      </c>
      <c r="C64" s="1" t="s">
        <v>17</v>
      </c>
      <c r="D64" s="1" t="s">
        <v>18</v>
      </c>
      <c r="E64" s="1">
        <v>3867.91</v>
      </c>
      <c r="F64" s="1">
        <v>42</v>
      </c>
      <c r="G64" s="1">
        <v>3644</v>
      </c>
      <c r="H64" s="1">
        <v>92.093095000000005</v>
      </c>
      <c r="I64" s="1">
        <v>1.1526E-2</v>
      </c>
      <c r="J64" s="1">
        <v>1061.4462129999999</v>
      </c>
      <c r="K64" s="1">
        <v>0</v>
      </c>
      <c r="L64" s="1">
        <v>0</v>
      </c>
      <c r="M64" s="1" t="s">
        <v>43</v>
      </c>
      <c r="N64" s="1" t="s">
        <v>44</v>
      </c>
      <c r="O64" s="1" t="s">
        <v>44</v>
      </c>
      <c r="P64" s="2">
        <f t="shared" si="0"/>
        <v>0</v>
      </c>
      <c r="Q64" s="2">
        <f t="shared" si="1"/>
        <v>0</v>
      </c>
    </row>
    <row r="65" spans="1:17" ht="12.5" x14ac:dyDescent="0.25">
      <c r="A65" s="1" t="s">
        <v>27</v>
      </c>
      <c r="B65" s="1" t="s">
        <v>16</v>
      </c>
      <c r="C65" s="1" t="s">
        <v>17</v>
      </c>
      <c r="D65" s="1" t="s">
        <v>18</v>
      </c>
      <c r="E65" s="1">
        <v>2481.42</v>
      </c>
      <c r="F65" s="1">
        <v>45</v>
      </c>
      <c r="G65" s="1">
        <v>6234</v>
      </c>
      <c r="H65" s="1">
        <v>55.142667000000003</v>
      </c>
      <c r="I65" s="1">
        <v>7.2179999999999996E-3</v>
      </c>
      <c r="J65" s="1">
        <v>398.046198</v>
      </c>
      <c r="K65" s="1">
        <v>0</v>
      </c>
      <c r="L65" s="1">
        <v>0</v>
      </c>
      <c r="M65" s="1" t="s">
        <v>43</v>
      </c>
      <c r="N65" s="1" t="s">
        <v>44</v>
      </c>
      <c r="O65" s="1" t="s">
        <v>44</v>
      </c>
      <c r="P65" s="2">
        <f t="shared" si="0"/>
        <v>0</v>
      </c>
      <c r="Q65" s="2">
        <f t="shared" si="1"/>
        <v>0</v>
      </c>
    </row>
    <row r="66" spans="1:17" ht="12.5" x14ac:dyDescent="0.25">
      <c r="A66" s="1" t="s">
        <v>28</v>
      </c>
      <c r="B66" s="1" t="s">
        <v>16</v>
      </c>
      <c r="C66" s="1" t="s">
        <v>17</v>
      </c>
      <c r="D66" s="1" t="s">
        <v>18</v>
      </c>
      <c r="E66" s="1">
        <v>1998.2740590000001</v>
      </c>
      <c r="F66" s="1">
        <v>48</v>
      </c>
      <c r="G66" s="1">
        <v>3938</v>
      </c>
      <c r="H66" s="1">
        <v>41.630710000000001</v>
      </c>
      <c r="I66" s="1">
        <v>1.2189E-2</v>
      </c>
      <c r="J66" s="1">
        <v>507.43373800000001</v>
      </c>
      <c r="K66" s="1">
        <v>0</v>
      </c>
      <c r="L66" s="1">
        <v>0</v>
      </c>
      <c r="M66" s="1" t="s">
        <v>43</v>
      </c>
      <c r="N66" s="1" t="s">
        <v>44</v>
      </c>
      <c r="O66" s="1" t="s">
        <v>44</v>
      </c>
      <c r="P66" s="2">
        <f t="shared" si="0"/>
        <v>0</v>
      </c>
      <c r="Q66" s="2">
        <f t="shared" si="1"/>
        <v>0</v>
      </c>
    </row>
    <row r="67" spans="1:17" ht="12.5" x14ac:dyDescent="0.25">
      <c r="A67" s="1" t="s">
        <v>29</v>
      </c>
      <c r="B67" s="1" t="s">
        <v>16</v>
      </c>
      <c r="C67" s="1" t="s">
        <v>17</v>
      </c>
      <c r="D67" s="1" t="s">
        <v>18</v>
      </c>
      <c r="E67" s="1">
        <v>94.2</v>
      </c>
      <c r="F67" s="1">
        <v>3</v>
      </c>
      <c r="G67" s="1">
        <v>429</v>
      </c>
      <c r="H67" s="1">
        <v>31.4</v>
      </c>
      <c r="I67" s="1">
        <v>6.9930000000000001E-3</v>
      </c>
      <c r="J67" s="1">
        <v>219.58042</v>
      </c>
      <c r="K67" s="1">
        <v>0</v>
      </c>
      <c r="L67" s="1">
        <v>0</v>
      </c>
      <c r="M67" s="1" t="s">
        <v>43</v>
      </c>
      <c r="N67" s="1" t="s">
        <v>44</v>
      </c>
      <c r="O67" s="1" t="s">
        <v>44</v>
      </c>
      <c r="P67" s="2">
        <f t="shared" ref="P67:P130" si="2">IFERROR(K67/ L67, 0)</f>
        <v>0</v>
      </c>
      <c r="Q67" s="2">
        <f t="shared" ref="Q67:Q130" si="3">IFERROR(E67/K67, 0)</f>
        <v>0</v>
      </c>
    </row>
    <row r="68" spans="1:17" ht="12.5" x14ac:dyDescent="0.25">
      <c r="A68" s="1" t="s">
        <v>33</v>
      </c>
      <c r="B68" s="1" t="s">
        <v>16</v>
      </c>
      <c r="C68" s="1" t="s">
        <v>17</v>
      </c>
      <c r="D68" s="1" t="s">
        <v>18</v>
      </c>
      <c r="E68" s="1">
        <v>0</v>
      </c>
      <c r="F68" s="1">
        <v>0</v>
      </c>
      <c r="G68" s="1">
        <v>1</v>
      </c>
      <c r="I68" s="1">
        <v>0</v>
      </c>
      <c r="J68" s="1">
        <v>0</v>
      </c>
      <c r="K68" s="1">
        <v>0</v>
      </c>
      <c r="L68" s="1">
        <v>0</v>
      </c>
      <c r="M68" s="1" t="s">
        <v>43</v>
      </c>
      <c r="N68" s="1" t="s">
        <v>44</v>
      </c>
      <c r="O68" s="1" t="s">
        <v>44</v>
      </c>
      <c r="P68" s="2">
        <f t="shared" si="2"/>
        <v>0</v>
      </c>
      <c r="Q68" s="2">
        <f t="shared" si="3"/>
        <v>0</v>
      </c>
    </row>
    <row r="69" spans="1:17" ht="12.5" x14ac:dyDescent="0.25">
      <c r="A69" s="1" t="s">
        <v>32</v>
      </c>
      <c r="B69" s="1" t="s">
        <v>16</v>
      </c>
      <c r="C69" s="1" t="s">
        <v>17</v>
      </c>
      <c r="D69" s="1" t="s">
        <v>18</v>
      </c>
      <c r="E69" s="1">
        <v>0</v>
      </c>
      <c r="F69" s="1">
        <v>0</v>
      </c>
      <c r="G69" s="1">
        <v>2</v>
      </c>
      <c r="I69" s="1">
        <v>0</v>
      </c>
      <c r="J69" s="1">
        <v>0</v>
      </c>
      <c r="K69" s="1">
        <v>0</v>
      </c>
      <c r="L69" s="1">
        <v>0</v>
      </c>
      <c r="M69" s="1" t="s">
        <v>43</v>
      </c>
      <c r="N69" s="1" t="s">
        <v>44</v>
      </c>
      <c r="O69" s="1" t="s">
        <v>44</v>
      </c>
      <c r="P69" s="2">
        <f t="shared" si="2"/>
        <v>0</v>
      </c>
      <c r="Q69" s="2">
        <f t="shared" si="3"/>
        <v>0</v>
      </c>
    </row>
    <row r="70" spans="1:17" ht="12.5" x14ac:dyDescent="0.25">
      <c r="A70" s="1" t="s">
        <v>45</v>
      </c>
      <c r="B70" s="1" t="s">
        <v>16</v>
      </c>
      <c r="C70" s="1" t="s">
        <v>46</v>
      </c>
      <c r="D70" s="1" t="s">
        <v>41</v>
      </c>
      <c r="E70" s="1">
        <v>441.23</v>
      </c>
      <c r="F70" s="1">
        <v>6</v>
      </c>
      <c r="G70" s="1">
        <v>12</v>
      </c>
      <c r="H70" s="1">
        <v>73.538332999999994</v>
      </c>
      <c r="I70" s="1">
        <v>0.5</v>
      </c>
      <c r="J70" s="1">
        <v>36769.166669999999</v>
      </c>
      <c r="K70" s="1">
        <v>0</v>
      </c>
      <c r="L70" s="1">
        <v>0</v>
      </c>
      <c r="M70" s="1" t="s">
        <v>19</v>
      </c>
      <c r="N70" s="1" t="s">
        <v>47</v>
      </c>
      <c r="O70" s="1" t="s">
        <v>47</v>
      </c>
      <c r="P70" s="2">
        <f t="shared" si="2"/>
        <v>0</v>
      </c>
      <c r="Q70" s="2">
        <f t="shared" si="3"/>
        <v>0</v>
      </c>
    </row>
    <row r="71" spans="1:17" ht="12.5" x14ac:dyDescent="0.25">
      <c r="A71" s="1" t="s">
        <v>48</v>
      </c>
      <c r="B71" s="1" t="s">
        <v>16</v>
      </c>
      <c r="C71" s="1" t="s">
        <v>46</v>
      </c>
      <c r="D71" s="1" t="s">
        <v>41</v>
      </c>
      <c r="E71" s="1">
        <v>1517.04</v>
      </c>
      <c r="F71" s="1">
        <v>4</v>
      </c>
      <c r="G71" s="1">
        <v>8</v>
      </c>
      <c r="H71" s="1">
        <v>379.26</v>
      </c>
      <c r="I71" s="1">
        <v>0.5</v>
      </c>
      <c r="J71" s="1">
        <v>189630</v>
      </c>
      <c r="K71" s="1">
        <v>0</v>
      </c>
      <c r="L71" s="1">
        <v>0</v>
      </c>
      <c r="M71" s="1" t="s">
        <v>19</v>
      </c>
      <c r="N71" s="1" t="s">
        <v>47</v>
      </c>
      <c r="O71" s="1" t="s">
        <v>47</v>
      </c>
      <c r="P71" s="2">
        <f t="shared" si="2"/>
        <v>0</v>
      </c>
      <c r="Q71" s="2">
        <f t="shared" si="3"/>
        <v>0</v>
      </c>
    </row>
    <row r="72" spans="1:17" ht="12.5" x14ac:dyDescent="0.25">
      <c r="A72" s="1" t="s">
        <v>49</v>
      </c>
      <c r="B72" s="1" t="s">
        <v>16</v>
      </c>
      <c r="C72" s="1" t="s">
        <v>46</v>
      </c>
      <c r="D72" s="1" t="s">
        <v>41</v>
      </c>
      <c r="E72" s="1">
        <v>3.97</v>
      </c>
      <c r="F72" s="1">
        <v>3</v>
      </c>
      <c r="G72" s="1">
        <v>9</v>
      </c>
      <c r="H72" s="1">
        <v>1.3233330000000001</v>
      </c>
      <c r="I72" s="1">
        <v>0.33333299999999999</v>
      </c>
      <c r="J72" s="1">
        <v>441.11111099999999</v>
      </c>
      <c r="K72" s="1">
        <v>0</v>
      </c>
      <c r="L72" s="1">
        <v>0</v>
      </c>
      <c r="M72" s="1" t="s">
        <v>19</v>
      </c>
      <c r="N72" s="1" t="s">
        <v>47</v>
      </c>
      <c r="O72" s="1" t="s">
        <v>47</v>
      </c>
      <c r="P72" s="2">
        <f t="shared" si="2"/>
        <v>0</v>
      </c>
      <c r="Q72" s="2">
        <f t="shared" si="3"/>
        <v>0</v>
      </c>
    </row>
    <row r="73" spans="1:17" ht="12.5" x14ac:dyDescent="0.25">
      <c r="A73" s="1" t="s">
        <v>50</v>
      </c>
      <c r="B73" s="1" t="s">
        <v>16</v>
      </c>
      <c r="C73" s="1" t="s">
        <v>46</v>
      </c>
      <c r="D73" s="1" t="s">
        <v>41</v>
      </c>
      <c r="E73" s="1">
        <v>7.86</v>
      </c>
      <c r="F73" s="1">
        <v>6</v>
      </c>
      <c r="G73" s="1">
        <v>21</v>
      </c>
      <c r="H73" s="1">
        <v>1.31</v>
      </c>
      <c r="I73" s="1">
        <v>0.28571400000000002</v>
      </c>
      <c r="J73" s="1">
        <v>374.28571399999998</v>
      </c>
      <c r="K73" s="1">
        <v>0</v>
      </c>
      <c r="L73" s="1">
        <v>0</v>
      </c>
      <c r="M73" s="1" t="s">
        <v>19</v>
      </c>
      <c r="N73" s="1" t="s">
        <v>47</v>
      </c>
      <c r="O73" s="1" t="s">
        <v>47</v>
      </c>
      <c r="P73" s="2">
        <f t="shared" si="2"/>
        <v>0</v>
      </c>
      <c r="Q73" s="2">
        <f t="shared" si="3"/>
        <v>0</v>
      </c>
    </row>
    <row r="74" spans="1:17" ht="12.5" x14ac:dyDescent="0.25">
      <c r="A74" s="1" t="s">
        <v>51</v>
      </c>
      <c r="B74" s="1" t="s">
        <v>16</v>
      </c>
      <c r="C74" s="1" t="s">
        <v>46</v>
      </c>
      <c r="D74" s="1" t="s">
        <v>41</v>
      </c>
      <c r="E74" s="1">
        <v>126.02</v>
      </c>
      <c r="F74" s="1">
        <v>6</v>
      </c>
      <c r="G74" s="1">
        <v>13</v>
      </c>
      <c r="H74" s="1">
        <v>21.003333000000001</v>
      </c>
      <c r="I74" s="1">
        <v>0.461538</v>
      </c>
      <c r="J74" s="1">
        <v>9693.8461540000008</v>
      </c>
      <c r="K74" s="1">
        <v>0</v>
      </c>
      <c r="L74" s="1">
        <v>0</v>
      </c>
      <c r="M74" s="1" t="s">
        <v>19</v>
      </c>
      <c r="N74" s="1" t="s">
        <v>47</v>
      </c>
      <c r="O74" s="1" t="s">
        <v>47</v>
      </c>
      <c r="P74" s="2">
        <f t="shared" si="2"/>
        <v>0</v>
      </c>
      <c r="Q74" s="2">
        <f t="shared" si="3"/>
        <v>0</v>
      </c>
    </row>
    <row r="75" spans="1:17" ht="12.5" x14ac:dyDescent="0.25">
      <c r="A75" s="1" t="s">
        <v>52</v>
      </c>
      <c r="B75" s="1" t="s">
        <v>16</v>
      </c>
      <c r="C75" s="1" t="s">
        <v>46</v>
      </c>
      <c r="D75" s="1" t="s">
        <v>41</v>
      </c>
      <c r="E75" s="1">
        <v>48.88</v>
      </c>
      <c r="F75" s="1">
        <v>8</v>
      </c>
      <c r="G75" s="1">
        <v>15</v>
      </c>
      <c r="H75" s="1">
        <v>6.11</v>
      </c>
      <c r="I75" s="1">
        <v>0.53333299999999995</v>
      </c>
      <c r="J75" s="1">
        <v>3258.666667</v>
      </c>
      <c r="K75" s="1">
        <v>0</v>
      </c>
      <c r="L75" s="1">
        <v>0</v>
      </c>
      <c r="M75" s="1" t="s">
        <v>19</v>
      </c>
      <c r="N75" s="1" t="s">
        <v>47</v>
      </c>
      <c r="O75" s="1" t="s">
        <v>47</v>
      </c>
      <c r="P75" s="2">
        <f t="shared" si="2"/>
        <v>0</v>
      </c>
      <c r="Q75" s="2">
        <f t="shared" si="3"/>
        <v>0</v>
      </c>
    </row>
    <row r="76" spans="1:17" ht="12.5" x14ac:dyDescent="0.25">
      <c r="A76" s="1" t="s">
        <v>53</v>
      </c>
      <c r="B76" s="1" t="s">
        <v>16</v>
      </c>
      <c r="C76" s="1" t="s">
        <v>46</v>
      </c>
      <c r="D76" s="1" t="s">
        <v>41</v>
      </c>
      <c r="E76" s="1">
        <v>3.93</v>
      </c>
      <c r="F76" s="1">
        <v>3</v>
      </c>
      <c r="G76" s="1">
        <v>10</v>
      </c>
      <c r="H76" s="1">
        <v>1.31</v>
      </c>
      <c r="I76" s="1">
        <v>0.3</v>
      </c>
      <c r="J76" s="1">
        <v>393</v>
      </c>
      <c r="K76" s="1">
        <v>0</v>
      </c>
      <c r="L76" s="1">
        <v>0</v>
      </c>
      <c r="M76" s="1" t="s">
        <v>19</v>
      </c>
      <c r="N76" s="1" t="s">
        <v>47</v>
      </c>
      <c r="O76" s="1" t="s">
        <v>47</v>
      </c>
      <c r="P76" s="2">
        <f t="shared" si="2"/>
        <v>0</v>
      </c>
      <c r="Q76" s="2">
        <f t="shared" si="3"/>
        <v>0</v>
      </c>
    </row>
    <row r="77" spans="1:17" ht="12.5" x14ac:dyDescent="0.25">
      <c r="A77" s="1" t="s">
        <v>54</v>
      </c>
      <c r="B77" s="1" t="s">
        <v>16</v>
      </c>
      <c r="C77" s="1" t="s">
        <v>46</v>
      </c>
      <c r="D77" s="1" t="s">
        <v>41</v>
      </c>
      <c r="E77" s="1">
        <v>13.08</v>
      </c>
      <c r="F77" s="1">
        <v>10</v>
      </c>
      <c r="G77" s="1">
        <v>25</v>
      </c>
      <c r="H77" s="1">
        <v>1.3080000000000001</v>
      </c>
      <c r="I77" s="1">
        <v>0.4</v>
      </c>
      <c r="J77" s="1">
        <v>523.20000000000005</v>
      </c>
      <c r="K77" s="1">
        <v>0</v>
      </c>
      <c r="L77" s="1">
        <v>0</v>
      </c>
      <c r="M77" s="1" t="s">
        <v>19</v>
      </c>
      <c r="N77" s="1" t="s">
        <v>47</v>
      </c>
      <c r="O77" s="1" t="s">
        <v>47</v>
      </c>
      <c r="P77" s="2">
        <f t="shared" si="2"/>
        <v>0</v>
      </c>
      <c r="Q77" s="2">
        <f t="shared" si="3"/>
        <v>0</v>
      </c>
    </row>
    <row r="78" spans="1:17" ht="12.5" x14ac:dyDescent="0.25">
      <c r="A78" s="1" t="s">
        <v>55</v>
      </c>
      <c r="B78" s="1" t="s">
        <v>16</v>
      </c>
      <c r="C78" s="1" t="s">
        <v>46</v>
      </c>
      <c r="D78" s="1" t="s">
        <v>41</v>
      </c>
      <c r="E78" s="1">
        <v>108.73</v>
      </c>
      <c r="F78" s="1">
        <v>10</v>
      </c>
      <c r="G78" s="1">
        <v>27</v>
      </c>
      <c r="H78" s="1">
        <v>10.872999999999999</v>
      </c>
      <c r="I78" s="1">
        <v>0.37036999999999998</v>
      </c>
      <c r="J78" s="1">
        <v>4027.0370370000001</v>
      </c>
      <c r="K78" s="1">
        <v>0</v>
      </c>
      <c r="L78" s="1">
        <v>0</v>
      </c>
      <c r="M78" s="1" t="s">
        <v>19</v>
      </c>
      <c r="N78" s="1" t="s">
        <v>47</v>
      </c>
      <c r="O78" s="1" t="s">
        <v>47</v>
      </c>
      <c r="P78" s="2">
        <f t="shared" si="2"/>
        <v>0</v>
      </c>
      <c r="Q78" s="2">
        <f t="shared" si="3"/>
        <v>0</v>
      </c>
    </row>
    <row r="79" spans="1:17" ht="12.5" x14ac:dyDescent="0.25">
      <c r="A79" s="1" t="s">
        <v>45</v>
      </c>
      <c r="B79" s="1" t="s">
        <v>16</v>
      </c>
      <c r="C79" s="1" t="s">
        <v>56</v>
      </c>
      <c r="D79" s="1" t="s">
        <v>41</v>
      </c>
      <c r="E79" s="1">
        <v>16.670000000000002</v>
      </c>
      <c r="F79" s="1">
        <v>4</v>
      </c>
      <c r="G79" s="1">
        <v>204</v>
      </c>
      <c r="H79" s="1">
        <v>4.1675000000000004</v>
      </c>
      <c r="I79" s="1">
        <v>1.9608E-2</v>
      </c>
      <c r="J79" s="1">
        <v>81.715686000000005</v>
      </c>
      <c r="K79" s="1">
        <v>0</v>
      </c>
      <c r="L79" s="1">
        <v>0</v>
      </c>
      <c r="M79" s="1" t="s">
        <v>19</v>
      </c>
      <c r="N79" s="1" t="s">
        <v>47</v>
      </c>
      <c r="O79" s="1" t="s">
        <v>47</v>
      </c>
      <c r="P79" s="2">
        <f t="shared" si="2"/>
        <v>0</v>
      </c>
      <c r="Q79" s="2">
        <f t="shared" si="3"/>
        <v>0</v>
      </c>
    </row>
    <row r="80" spans="1:17" ht="12.5" x14ac:dyDescent="0.25">
      <c r="A80" s="1" t="s">
        <v>48</v>
      </c>
      <c r="B80" s="1" t="s">
        <v>16</v>
      </c>
      <c r="C80" s="1" t="s">
        <v>56</v>
      </c>
      <c r="D80" s="1" t="s">
        <v>41</v>
      </c>
      <c r="E80" s="1">
        <v>250.913724</v>
      </c>
      <c r="F80" s="1">
        <v>4</v>
      </c>
      <c r="G80" s="1">
        <v>497</v>
      </c>
      <c r="H80" s="1">
        <v>62.728431</v>
      </c>
      <c r="I80" s="1">
        <v>8.0479999999999996E-3</v>
      </c>
      <c r="J80" s="1">
        <v>504.85658799999999</v>
      </c>
      <c r="K80" s="1">
        <v>0</v>
      </c>
      <c r="L80" s="1">
        <v>0</v>
      </c>
      <c r="M80" s="1" t="s">
        <v>19</v>
      </c>
      <c r="N80" s="1" t="s">
        <v>47</v>
      </c>
      <c r="O80" s="1" t="s">
        <v>47</v>
      </c>
      <c r="P80" s="2">
        <f t="shared" si="2"/>
        <v>0</v>
      </c>
      <c r="Q80" s="2">
        <f t="shared" si="3"/>
        <v>0</v>
      </c>
    </row>
    <row r="81" spans="1:17" ht="12.5" x14ac:dyDescent="0.25">
      <c r="A81" s="1" t="s">
        <v>49</v>
      </c>
      <c r="B81" s="1" t="s">
        <v>16</v>
      </c>
      <c r="C81" s="1" t="s">
        <v>56</v>
      </c>
      <c r="D81" s="1" t="s">
        <v>41</v>
      </c>
      <c r="E81" s="1">
        <v>56.126323999999997</v>
      </c>
      <c r="F81" s="1">
        <v>4</v>
      </c>
      <c r="G81" s="1">
        <v>259</v>
      </c>
      <c r="H81" s="1">
        <v>14.031580999999999</v>
      </c>
      <c r="I81" s="1">
        <v>1.5443999999999999E-2</v>
      </c>
      <c r="J81" s="1">
        <v>216.70395400000001</v>
      </c>
      <c r="K81" s="1">
        <v>0</v>
      </c>
      <c r="L81" s="1">
        <v>0</v>
      </c>
      <c r="M81" s="1" t="s">
        <v>19</v>
      </c>
      <c r="N81" s="1" t="s">
        <v>47</v>
      </c>
      <c r="O81" s="1" t="s">
        <v>47</v>
      </c>
      <c r="P81" s="2">
        <f t="shared" si="2"/>
        <v>0</v>
      </c>
      <c r="Q81" s="2">
        <f t="shared" si="3"/>
        <v>0</v>
      </c>
    </row>
    <row r="82" spans="1:17" ht="12.5" x14ac:dyDescent="0.25">
      <c r="A82" s="1" t="s">
        <v>50</v>
      </c>
      <c r="B82" s="1" t="s">
        <v>16</v>
      </c>
      <c r="C82" s="1" t="s">
        <v>56</v>
      </c>
      <c r="D82" s="1" t="s">
        <v>41</v>
      </c>
      <c r="E82" s="1">
        <v>49.56</v>
      </c>
      <c r="F82" s="1">
        <v>3</v>
      </c>
      <c r="G82" s="1">
        <v>159</v>
      </c>
      <c r="H82" s="1">
        <v>16.52</v>
      </c>
      <c r="I82" s="1">
        <v>1.8867999999999999E-2</v>
      </c>
      <c r="J82" s="1">
        <v>311.69811299999998</v>
      </c>
      <c r="K82" s="1">
        <v>0</v>
      </c>
      <c r="L82" s="1">
        <v>0</v>
      </c>
      <c r="M82" s="1" t="s">
        <v>19</v>
      </c>
      <c r="N82" s="1" t="s">
        <v>47</v>
      </c>
      <c r="O82" s="1" t="s">
        <v>47</v>
      </c>
      <c r="P82" s="2">
        <f t="shared" si="2"/>
        <v>0</v>
      </c>
      <c r="Q82" s="2">
        <f t="shared" si="3"/>
        <v>0</v>
      </c>
    </row>
    <row r="83" spans="1:17" ht="12.5" x14ac:dyDescent="0.25">
      <c r="A83" s="1" t="s">
        <v>51</v>
      </c>
      <c r="B83" s="1" t="s">
        <v>16</v>
      </c>
      <c r="C83" s="1" t="s">
        <v>56</v>
      </c>
      <c r="D83" s="1" t="s">
        <v>41</v>
      </c>
      <c r="E83" s="1">
        <v>8.6</v>
      </c>
      <c r="F83" s="1">
        <v>2</v>
      </c>
      <c r="G83" s="1">
        <v>76</v>
      </c>
      <c r="H83" s="1">
        <v>4.3</v>
      </c>
      <c r="I83" s="1">
        <v>2.6315999999999999E-2</v>
      </c>
      <c r="J83" s="1">
        <v>113.157895</v>
      </c>
      <c r="K83" s="1">
        <v>0</v>
      </c>
      <c r="L83" s="1">
        <v>0</v>
      </c>
      <c r="M83" s="1" t="s">
        <v>19</v>
      </c>
      <c r="N83" s="1" t="s">
        <v>47</v>
      </c>
      <c r="O83" s="1" t="s">
        <v>47</v>
      </c>
      <c r="P83" s="2">
        <f t="shared" si="2"/>
        <v>0</v>
      </c>
      <c r="Q83" s="2">
        <f t="shared" si="3"/>
        <v>0</v>
      </c>
    </row>
    <row r="84" spans="1:17" ht="12.5" x14ac:dyDescent="0.25">
      <c r="A84" s="1" t="s">
        <v>52</v>
      </c>
      <c r="B84" s="1" t="s">
        <v>16</v>
      </c>
      <c r="C84" s="1" t="s">
        <v>56</v>
      </c>
      <c r="D84" s="1" t="s">
        <v>41</v>
      </c>
      <c r="E84" s="1">
        <v>358.12383899999998</v>
      </c>
      <c r="F84" s="1">
        <v>13</v>
      </c>
      <c r="G84" s="1">
        <v>516</v>
      </c>
      <c r="H84" s="1">
        <v>27.547988</v>
      </c>
      <c r="I84" s="1">
        <v>2.5194000000000001E-2</v>
      </c>
      <c r="J84" s="1">
        <v>694.03844800000002</v>
      </c>
      <c r="K84" s="1">
        <v>0</v>
      </c>
      <c r="L84" s="1">
        <v>0</v>
      </c>
      <c r="M84" s="1" t="s">
        <v>19</v>
      </c>
      <c r="N84" s="1" t="s">
        <v>47</v>
      </c>
      <c r="O84" s="1" t="s">
        <v>47</v>
      </c>
      <c r="P84" s="2">
        <f t="shared" si="2"/>
        <v>0</v>
      </c>
      <c r="Q84" s="2">
        <f t="shared" si="3"/>
        <v>0</v>
      </c>
    </row>
    <row r="85" spans="1:17" ht="12.5" x14ac:dyDescent="0.25">
      <c r="A85" s="1" t="s">
        <v>53</v>
      </c>
      <c r="B85" s="1" t="s">
        <v>16</v>
      </c>
      <c r="C85" s="1" t="s">
        <v>56</v>
      </c>
      <c r="D85" s="1" t="s">
        <v>41</v>
      </c>
      <c r="E85" s="1">
        <v>48.67</v>
      </c>
      <c r="F85" s="1">
        <v>5</v>
      </c>
      <c r="G85" s="1">
        <v>198</v>
      </c>
      <c r="H85" s="1">
        <v>9.734</v>
      </c>
      <c r="I85" s="1">
        <v>2.5253000000000001E-2</v>
      </c>
      <c r="J85" s="1">
        <v>245.80808099999999</v>
      </c>
      <c r="K85" s="1">
        <v>0</v>
      </c>
      <c r="L85" s="1">
        <v>0</v>
      </c>
      <c r="M85" s="1" t="s">
        <v>19</v>
      </c>
      <c r="N85" s="1" t="s">
        <v>47</v>
      </c>
      <c r="O85" s="1" t="s">
        <v>47</v>
      </c>
      <c r="P85" s="2">
        <f t="shared" si="2"/>
        <v>0</v>
      </c>
      <c r="Q85" s="2">
        <f t="shared" si="3"/>
        <v>0</v>
      </c>
    </row>
    <row r="86" spans="1:17" ht="12.5" x14ac:dyDescent="0.25">
      <c r="A86" s="1" t="s">
        <v>54</v>
      </c>
      <c r="B86" s="1" t="s">
        <v>16</v>
      </c>
      <c r="C86" s="1" t="s">
        <v>56</v>
      </c>
      <c r="D86" s="1" t="s">
        <v>41</v>
      </c>
      <c r="E86" s="1">
        <v>30.954584000000001</v>
      </c>
      <c r="F86" s="1">
        <v>3</v>
      </c>
      <c r="G86" s="1">
        <v>478</v>
      </c>
      <c r="H86" s="1">
        <v>10.318194999999999</v>
      </c>
      <c r="I86" s="1">
        <v>6.2760000000000003E-3</v>
      </c>
      <c r="J86" s="1">
        <v>64.758544000000001</v>
      </c>
      <c r="K86" s="1">
        <v>0</v>
      </c>
      <c r="L86" s="1">
        <v>0</v>
      </c>
      <c r="M86" s="1" t="s">
        <v>19</v>
      </c>
      <c r="N86" s="1" t="s">
        <v>47</v>
      </c>
      <c r="O86" s="1" t="s">
        <v>47</v>
      </c>
      <c r="P86" s="2">
        <f t="shared" si="2"/>
        <v>0</v>
      </c>
      <c r="Q86" s="2">
        <f t="shared" si="3"/>
        <v>0</v>
      </c>
    </row>
    <row r="87" spans="1:17" ht="12.5" x14ac:dyDescent="0.25">
      <c r="A87" s="1" t="s">
        <v>55</v>
      </c>
      <c r="B87" s="1" t="s">
        <v>16</v>
      </c>
      <c r="C87" s="1" t="s">
        <v>56</v>
      </c>
      <c r="D87" s="1" t="s">
        <v>41</v>
      </c>
      <c r="E87" s="1">
        <v>43.94</v>
      </c>
      <c r="F87" s="1">
        <v>3</v>
      </c>
      <c r="G87" s="1">
        <v>408</v>
      </c>
      <c r="H87" s="1">
        <v>14.646667000000001</v>
      </c>
      <c r="I87" s="1">
        <v>7.3530000000000002E-3</v>
      </c>
      <c r="J87" s="1">
        <v>107.696078</v>
      </c>
      <c r="K87" s="1">
        <v>0</v>
      </c>
      <c r="L87" s="1">
        <v>0</v>
      </c>
      <c r="M87" s="1" t="s">
        <v>19</v>
      </c>
      <c r="N87" s="1" t="s">
        <v>47</v>
      </c>
      <c r="O87" s="1" t="s">
        <v>47</v>
      </c>
      <c r="P87" s="2">
        <f t="shared" si="2"/>
        <v>0</v>
      </c>
      <c r="Q87" s="2">
        <f t="shared" si="3"/>
        <v>0</v>
      </c>
    </row>
    <row r="88" spans="1:17" ht="12.5" x14ac:dyDescent="0.25">
      <c r="A88" s="3">
        <v>46028</v>
      </c>
      <c r="B88" s="1" t="s">
        <v>16</v>
      </c>
      <c r="C88" s="1" t="s">
        <v>46</v>
      </c>
      <c r="D88" s="1" t="s">
        <v>41</v>
      </c>
      <c r="E88" s="1">
        <v>15.213875</v>
      </c>
      <c r="F88" s="1">
        <v>5</v>
      </c>
      <c r="G88" s="1">
        <v>17</v>
      </c>
      <c r="H88" s="1">
        <v>3.0427749999999998</v>
      </c>
      <c r="I88" s="1">
        <v>0.29411799999999999</v>
      </c>
      <c r="J88" s="1">
        <v>894.93382399999996</v>
      </c>
      <c r="K88" s="1">
        <v>1</v>
      </c>
      <c r="L88" s="1">
        <v>11000</v>
      </c>
      <c r="M88" s="1" t="s">
        <v>19</v>
      </c>
      <c r="N88" s="1" t="s">
        <v>20</v>
      </c>
      <c r="O88" s="1" t="s">
        <v>20</v>
      </c>
      <c r="P88" s="2">
        <f t="shared" si="2"/>
        <v>9.0909090909090904E-5</v>
      </c>
      <c r="Q88" s="2">
        <f t="shared" si="3"/>
        <v>15.213875</v>
      </c>
    </row>
    <row r="89" spans="1:17" ht="12.5" x14ac:dyDescent="0.25">
      <c r="A89" s="3">
        <v>46059</v>
      </c>
      <c r="B89" s="1" t="s">
        <v>16</v>
      </c>
      <c r="C89" s="1" t="s">
        <v>46</v>
      </c>
      <c r="D89" s="1" t="s">
        <v>41</v>
      </c>
      <c r="E89" s="1">
        <v>795.17809399999999</v>
      </c>
      <c r="F89" s="1">
        <v>5</v>
      </c>
      <c r="G89" s="1">
        <v>19</v>
      </c>
      <c r="H89" s="1">
        <v>159.035619</v>
      </c>
      <c r="I89" s="1">
        <v>0.263158</v>
      </c>
      <c r="J89" s="1">
        <v>41851.478629999998</v>
      </c>
      <c r="K89" s="1">
        <v>0</v>
      </c>
      <c r="L89" s="1">
        <v>0</v>
      </c>
      <c r="M89" s="1" t="s">
        <v>19</v>
      </c>
      <c r="N89" s="1" t="s">
        <v>20</v>
      </c>
      <c r="O89" s="1" t="s">
        <v>20</v>
      </c>
      <c r="P89" s="2">
        <f t="shared" si="2"/>
        <v>0</v>
      </c>
      <c r="Q89" s="2">
        <f t="shared" si="3"/>
        <v>0</v>
      </c>
    </row>
    <row r="90" spans="1:17" ht="12.5" x14ac:dyDescent="0.25">
      <c r="A90" s="3">
        <v>46087</v>
      </c>
      <c r="B90" s="1" t="s">
        <v>16</v>
      </c>
      <c r="C90" s="1" t="s">
        <v>46</v>
      </c>
      <c r="D90" s="1" t="s">
        <v>41</v>
      </c>
      <c r="E90" s="1">
        <v>410.92937599999999</v>
      </c>
      <c r="F90" s="1">
        <v>17</v>
      </c>
      <c r="G90" s="1">
        <v>42</v>
      </c>
      <c r="H90" s="1">
        <v>24.172315999999999</v>
      </c>
      <c r="I90" s="1">
        <v>0.40476200000000001</v>
      </c>
      <c r="J90" s="1">
        <v>9784.0327620000007</v>
      </c>
      <c r="K90" s="1">
        <v>2</v>
      </c>
      <c r="L90" s="1">
        <v>91766.399999999994</v>
      </c>
      <c r="M90" s="1" t="s">
        <v>19</v>
      </c>
      <c r="N90" s="1" t="s">
        <v>20</v>
      </c>
      <c r="O90" s="1" t="s">
        <v>20</v>
      </c>
      <c r="P90" s="2">
        <f t="shared" si="2"/>
        <v>2.1794469435436065E-5</v>
      </c>
      <c r="Q90" s="2">
        <f t="shared" si="3"/>
        <v>205.464688</v>
      </c>
    </row>
    <row r="91" spans="1:17" ht="12.5" x14ac:dyDescent="0.25">
      <c r="A91" s="3">
        <v>46118</v>
      </c>
      <c r="B91" s="1" t="s">
        <v>16</v>
      </c>
      <c r="C91" s="1" t="s">
        <v>46</v>
      </c>
      <c r="D91" s="1" t="s">
        <v>41</v>
      </c>
      <c r="E91" s="1">
        <v>397.07047299999999</v>
      </c>
      <c r="F91" s="1">
        <v>12</v>
      </c>
      <c r="G91" s="1">
        <v>37</v>
      </c>
      <c r="H91" s="1">
        <v>33.089205999999997</v>
      </c>
      <c r="I91" s="1">
        <v>0.324324</v>
      </c>
      <c r="J91" s="1">
        <v>10731.634410000001</v>
      </c>
      <c r="K91" s="1">
        <v>0</v>
      </c>
      <c r="L91" s="1">
        <v>0</v>
      </c>
      <c r="M91" s="1" t="s">
        <v>19</v>
      </c>
      <c r="N91" s="1" t="s">
        <v>20</v>
      </c>
      <c r="O91" s="1" t="s">
        <v>20</v>
      </c>
      <c r="P91" s="2">
        <f t="shared" si="2"/>
        <v>0</v>
      </c>
      <c r="Q91" s="2">
        <f t="shared" si="3"/>
        <v>0</v>
      </c>
    </row>
    <row r="92" spans="1:17" ht="12.5" x14ac:dyDescent="0.25">
      <c r="A92" s="3">
        <v>46148</v>
      </c>
      <c r="B92" s="1" t="s">
        <v>16</v>
      </c>
      <c r="C92" s="1" t="s">
        <v>46</v>
      </c>
      <c r="D92" s="1" t="s">
        <v>41</v>
      </c>
      <c r="E92" s="1">
        <v>73.893896999999996</v>
      </c>
      <c r="F92" s="1">
        <v>11</v>
      </c>
      <c r="G92" s="1">
        <v>21</v>
      </c>
      <c r="H92" s="1">
        <v>6.7176270000000002</v>
      </c>
      <c r="I92" s="1">
        <v>0.52381</v>
      </c>
      <c r="J92" s="1">
        <v>3518.7570000000001</v>
      </c>
      <c r="K92" s="1">
        <v>0.5</v>
      </c>
      <c r="L92" s="1">
        <v>6325</v>
      </c>
      <c r="M92" s="1" t="s">
        <v>19</v>
      </c>
      <c r="N92" s="1" t="s">
        <v>20</v>
      </c>
      <c r="O92" s="1" t="s">
        <v>20</v>
      </c>
      <c r="P92" s="2">
        <f t="shared" si="2"/>
        <v>7.9051383399209488E-5</v>
      </c>
      <c r="Q92" s="2">
        <f t="shared" si="3"/>
        <v>147.78779399999999</v>
      </c>
    </row>
    <row r="93" spans="1:17" ht="12.5" x14ac:dyDescent="0.25">
      <c r="A93" s="3">
        <v>46179</v>
      </c>
      <c r="B93" s="1" t="s">
        <v>16</v>
      </c>
      <c r="C93" s="1" t="s">
        <v>46</v>
      </c>
      <c r="D93" s="1" t="s">
        <v>41</v>
      </c>
      <c r="E93" s="1">
        <v>43.057805000000002</v>
      </c>
      <c r="F93" s="1">
        <v>12</v>
      </c>
      <c r="G93" s="1">
        <v>31</v>
      </c>
      <c r="H93" s="1">
        <v>3.5881500000000002</v>
      </c>
      <c r="I93" s="1">
        <v>0.38709700000000002</v>
      </c>
      <c r="J93" s="1">
        <v>1388.961452</v>
      </c>
      <c r="K93" s="1">
        <v>0</v>
      </c>
      <c r="L93" s="1">
        <v>0</v>
      </c>
      <c r="M93" s="1" t="s">
        <v>19</v>
      </c>
      <c r="N93" s="1" t="s">
        <v>20</v>
      </c>
      <c r="O93" s="1" t="s">
        <v>20</v>
      </c>
      <c r="P93" s="2">
        <f t="shared" si="2"/>
        <v>0</v>
      </c>
      <c r="Q93" s="2">
        <f t="shared" si="3"/>
        <v>0</v>
      </c>
    </row>
    <row r="94" spans="1:17" ht="12.5" x14ac:dyDescent="0.25">
      <c r="A94" s="3">
        <v>46209</v>
      </c>
      <c r="B94" s="1" t="s">
        <v>16</v>
      </c>
      <c r="C94" s="1" t="s">
        <v>46</v>
      </c>
      <c r="D94" s="1" t="s">
        <v>41</v>
      </c>
      <c r="E94" s="1">
        <v>82.039353000000006</v>
      </c>
      <c r="F94" s="1">
        <v>16</v>
      </c>
      <c r="G94" s="1">
        <v>33</v>
      </c>
      <c r="H94" s="1">
        <v>5.1274600000000001</v>
      </c>
      <c r="I94" s="1">
        <v>0.484848</v>
      </c>
      <c r="J94" s="1">
        <v>2486.0410000000002</v>
      </c>
      <c r="K94" s="1">
        <v>1.5</v>
      </c>
      <c r="L94" s="1">
        <v>37675</v>
      </c>
      <c r="M94" s="1" t="s">
        <v>19</v>
      </c>
      <c r="N94" s="1" t="s">
        <v>20</v>
      </c>
      <c r="O94" s="1" t="s">
        <v>20</v>
      </c>
      <c r="P94" s="2">
        <f t="shared" si="2"/>
        <v>3.9814200398142005E-5</v>
      </c>
      <c r="Q94" s="2">
        <f t="shared" si="3"/>
        <v>54.692902000000004</v>
      </c>
    </row>
    <row r="95" spans="1:17" ht="12.5" x14ac:dyDescent="0.25">
      <c r="A95" s="3">
        <v>46240</v>
      </c>
      <c r="B95" s="1" t="s">
        <v>16</v>
      </c>
      <c r="C95" s="1" t="s">
        <v>46</v>
      </c>
      <c r="D95" s="1" t="s">
        <v>41</v>
      </c>
      <c r="E95" s="1">
        <v>71.392385000000004</v>
      </c>
      <c r="F95" s="1">
        <v>9</v>
      </c>
      <c r="G95" s="1">
        <v>26</v>
      </c>
      <c r="H95" s="1">
        <v>7.9324870000000001</v>
      </c>
      <c r="I95" s="1">
        <v>0.34615400000000002</v>
      </c>
      <c r="J95" s="1">
        <v>2745.8609620000002</v>
      </c>
      <c r="K95" s="1">
        <v>0</v>
      </c>
      <c r="L95" s="1">
        <v>0</v>
      </c>
      <c r="M95" s="1" t="s">
        <v>19</v>
      </c>
      <c r="N95" s="1" t="s">
        <v>20</v>
      </c>
      <c r="O95" s="1" t="s">
        <v>20</v>
      </c>
      <c r="P95" s="2">
        <f t="shared" si="2"/>
        <v>0</v>
      </c>
      <c r="Q95" s="2">
        <f t="shared" si="3"/>
        <v>0</v>
      </c>
    </row>
    <row r="96" spans="1:17" ht="12.5" x14ac:dyDescent="0.25">
      <c r="A96" s="3">
        <v>46271</v>
      </c>
      <c r="B96" s="1" t="s">
        <v>16</v>
      </c>
      <c r="C96" s="1" t="s">
        <v>46</v>
      </c>
      <c r="D96" s="1" t="s">
        <v>41</v>
      </c>
      <c r="E96" s="1">
        <v>104.50054299999999</v>
      </c>
      <c r="F96" s="1">
        <v>10</v>
      </c>
      <c r="G96" s="1">
        <v>28</v>
      </c>
      <c r="H96" s="1">
        <v>10.450054</v>
      </c>
      <c r="I96" s="1">
        <v>0.35714299999999999</v>
      </c>
      <c r="J96" s="1">
        <v>3732.1622499999999</v>
      </c>
      <c r="K96" s="1">
        <v>0</v>
      </c>
      <c r="L96" s="1">
        <v>0</v>
      </c>
      <c r="M96" s="1" t="s">
        <v>19</v>
      </c>
      <c r="N96" s="1" t="s">
        <v>20</v>
      </c>
      <c r="O96" s="1" t="s">
        <v>20</v>
      </c>
      <c r="P96" s="2">
        <f t="shared" si="2"/>
        <v>0</v>
      </c>
      <c r="Q96" s="2">
        <f t="shared" si="3"/>
        <v>0</v>
      </c>
    </row>
    <row r="97" spans="1:17" ht="12.5" x14ac:dyDescent="0.25">
      <c r="A97" s="3">
        <v>46301</v>
      </c>
      <c r="B97" s="1" t="s">
        <v>16</v>
      </c>
      <c r="C97" s="1" t="s">
        <v>46</v>
      </c>
      <c r="D97" s="1" t="s">
        <v>41</v>
      </c>
      <c r="E97" s="1">
        <v>71.995125999999999</v>
      </c>
      <c r="F97" s="1">
        <v>12</v>
      </c>
      <c r="G97" s="1">
        <v>27</v>
      </c>
      <c r="H97" s="1">
        <v>5.9995940000000001</v>
      </c>
      <c r="I97" s="1">
        <v>0.44444400000000001</v>
      </c>
      <c r="J97" s="1">
        <v>2666.486148</v>
      </c>
      <c r="K97" s="1">
        <v>0</v>
      </c>
      <c r="L97" s="1">
        <v>0</v>
      </c>
      <c r="M97" s="1" t="s">
        <v>19</v>
      </c>
      <c r="N97" s="1" t="s">
        <v>20</v>
      </c>
      <c r="O97" s="1" t="s">
        <v>20</v>
      </c>
      <c r="P97" s="2">
        <f t="shared" si="2"/>
        <v>0</v>
      </c>
      <c r="Q97" s="2">
        <f t="shared" si="3"/>
        <v>0</v>
      </c>
    </row>
    <row r="98" spans="1:17" ht="12.5" x14ac:dyDescent="0.25">
      <c r="A98" s="3">
        <v>46332</v>
      </c>
      <c r="B98" s="1" t="s">
        <v>16</v>
      </c>
      <c r="C98" s="1" t="s">
        <v>46</v>
      </c>
      <c r="D98" s="1" t="s">
        <v>41</v>
      </c>
      <c r="E98" s="1">
        <v>428.12908399999998</v>
      </c>
      <c r="F98" s="1">
        <v>16</v>
      </c>
      <c r="G98" s="1">
        <v>39</v>
      </c>
      <c r="H98" s="1">
        <v>26.758068000000002</v>
      </c>
      <c r="I98" s="1">
        <v>0.41025600000000001</v>
      </c>
      <c r="J98" s="1">
        <v>10977.668820000001</v>
      </c>
      <c r="K98" s="1">
        <v>0</v>
      </c>
      <c r="L98" s="1">
        <v>0</v>
      </c>
      <c r="M98" s="1" t="s">
        <v>19</v>
      </c>
      <c r="N98" s="1" t="s">
        <v>20</v>
      </c>
      <c r="O98" s="1" t="s">
        <v>20</v>
      </c>
      <c r="P98" s="2">
        <f t="shared" si="2"/>
        <v>0</v>
      </c>
      <c r="Q98" s="2">
        <f t="shared" si="3"/>
        <v>0</v>
      </c>
    </row>
    <row r="99" spans="1:17" ht="12.5" x14ac:dyDescent="0.25">
      <c r="A99" s="3">
        <v>46362</v>
      </c>
      <c r="B99" s="1" t="s">
        <v>16</v>
      </c>
      <c r="C99" s="1" t="s">
        <v>46</v>
      </c>
      <c r="D99" s="1" t="s">
        <v>41</v>
      </c>
      <c r="E99" s="1">
        <v>803.50770599999998</v>
      </c>
      <c r="F99" s="1">
        <v>7</v>
      </c>
      <c r="G99" s="1">
        <v>22</v>
      </c>
      <c r="H99" s="1">
        <v>114.786815</v>
      </c>
      <c r="I99" s="1">
        <v>0.31818200000000002</v>
      </c>
      <c r="J99" s="1">
        <v>36523.077550000002</v>
      </c>
      <c r="K99" s="1">
        <v>0</v>
      </c>
      <c r="L99" s="1">
        <v>0</v>
      </c>
      <c r="M99" s="1" t="s">
        <v>19</v>
      </c>
      <c r="N99" s="1" t="s">
        <v>20</v>
      </c>
      <c r="O99" s="1" t="s">
        <v>20</v>
      </c>
      <c r="P99" s="2">
        <f t="shared" si="2"/>
        <v>0</v>
      </c>
      <c r="Q99" s="2">
        <f t="shared" si="3"/>
        <v>0</v>
      </c>
    </row>
    <row r="100" spans="1:17" ht="12.5" x14ac:dyDescent="0.25">
      <c r="A100" s="1" t="s">
        <v>57</v>
      </c>
      <c r="B100" s="1" t="s">
        <v>16</v>
      </c>
      <c r="C100" s="1" t="s">
        <v>46</v>
      </c>
      <c r="D100" s="1" t="s">
        <v>41</v>
      </c>
      <c r="E100" s="1">
        <v>512.98349299999995</v>
      </c>
      <c r="F100" s="1">
        <v>17</v>
      </c>
      <c r="G100" s="1">
        <v>35</v>
      </c>
      <c r="H100" s="1">
        <v>30.1755</v>
      </c>
      <c r="I100" s="1">
        <v>0.48571399999999998</v>
      </c>
      <c r="J100" s="1">
        <v>14656.67123</v>
      </c>
      <c r="K100" s="1">
        <v>0</v>
      </c>
      <c r="L100" s="1">
        <v>0</v>
      </c>
      <c r="M100" s="1" t="s">
        <v>19</v>
      </c>
      <c r="N100" s="1" t="s">
        <v>20</v>
      </c>
      <c r="O100" s="1" t="s">
        <v>20</v>
      </c>
      <c r="P100" s="2">
        <f t="shared" si="2"/>
        <v>0</v>
      </c>
      <c r="Q100" s="2">
        <f t="shared" si="3"/>
        <v>0</v>
      </c>
    </row>
    <row r="101" spans="1:17" ht="12.5" x14ac:dyDescent="0.25">
      <c r="A101" s="1" t="s">
        <v>58</v>
      </c>
      <c r="B101" s="1" t="s">
        <v>16</v>
      </c>
      <c r="C101" s="1" t="s">
        <v>46</v>
      </c>
      <c r="D101" s="1" t="s">
        <v>41</v>
      </c>
      <c r="E101" s="1">
        <v>889.03315599999996</v>
      </c>
      <c r="F101" s="1">
        <v>16</v>
      </c>
      <c r="G101" s="1">
        <v>51</v>
      </c>
      <c r="H101" s="1">
        <v>55.564571999999998</v>
      </c>
      <c r="I101" s="1">
        <v>0.31372499999999998</v>
      </c>
      <c r="J101" s="1">
        <v>17432.022669999998</v>
      </c>
      <c r="K101" s="1">
        <v>1</v>
      </c>
      <c r="L101" s="1">
        <v>10300</v>
      </c>
      <c r="M101" s="1" t="s">
        <v>19</v>
      </c>
      <c r="N101" s="1" t="s">
        <v>20</v>
      </c>
      <c r="O101" s="1" t="s">
        <v>20</v>
      </c>
      <c r="P101" s="2">
        <f t="shared" si="2"/>
        <v>9.7087378640776706E-5</v>
      </c>
      <c r="Q101" s="2">
        <f t="shared" si="3"/>
        <v>889.03315599999996</v>
      </c>
    </row>
    <row r="102" spans="1:17" ht="12.5" x14ac:dyDescent="0.25">
      <c r="A102" s="1" t="s">
        <v>59</v>
      </c>
      <c r="B102" s="1" t="s">
        <v>16</v>
      </c>
      <c r="C102" s="1" t="s">
        <v>46</v>
      </c>
      <c r="D102" s="1" t="s">
        <v>41</v>
      </c>
      <c r="E102" s="1">
        <v>473.83269899999999</v>
      </c>
      <c r="F102" s="1">
        <v>18</v>
      </c>
      <c r="G102" s="1">
        <v>44</v>
      </c>
      <c r="H102" s="1">
        <v>26.324038999999999</v>
      </c>
      <c r="I102" s="1">
        <v>0.40909099999999998</v>
      </c>
      <c r="J102" s="1">
        <v>10768.92498</v>
      </c>
      <c r="K102" s="1">
        <v>0</v>
      </c>
      <c r="L102" s="1">
        <v>0</v>
      </c>
      <c r="M102" s="1" t="s">
        <v>19</v>
      </c>
      <c r="N102" s="1" t="s">
        <v>20</v>
      </c>
      <c r="O102" s="1" t="s">
        <v>20</v>
      </c>
      <c r="P102" s="2">
        <f t="shared" si="2"/>
        <v>0</v>
      </c>
      <c r="Q102" s="2">
        <f t="shared" si="3"/>
        <v>0</v>
      </c>
    </row>
    <row r="103" spans="1:17" ht="12.5" x14ac:dyDescent="0.25">
      <c r="A103" s="1" t="s">
        <v>60</v>
      </c>
      <c r="B103" s="1" t="s">
        <v>16</v>
      </c>
      <c r="C103" s="1" t="s">
        <v>46</v>
      </c>
      <c r="D103" s="1" t="s">
        <v>41</v>
      </c>
      <c r="E103" s="1">
        <v>535.50441499999999</v>
      </c>
      <c r="F103" s="1">
        <v>15</v>
      </c>
      <c r="G103" s="1">
        <v>50</v>
      </c>
      <c r="H103" s="1">
        <v>35.700294</v>
      </c>
      <c r="I103" s="1">
        <v>0.3</v>
      </c>
      <c r="J103" s="1">
        <v>10710.088299999999</v>
      </c>
      <c r="K103" s="1">
        <v>1</v>
      </c>
      <c r="L103" s="1">
        <v>27720</v>
      </c>
      <c r="M103" s="1" t="s">
        <v>19</v>
      </c>
      <c r="N103" s="1" t="s">
        <v>20</v>
      </c>
      <c r="O103" s="1" t="s">
        <v>20</v>
      </c>
      <c r="P103" s="2">
        <f t="shared" si="2"/>
        <v>3.6075036075036075E-5</v>
      </c>
      <c r="Q103" s="2">
        <f t="shared" si="3"/>
        <v>535.50441499999999</v>
      </c>
    </row>
    <row r="104" spans="1:17" ht="12.5" x14ac:dyDescent="0.25">
      <c r="A104" s="1" t="s">
        <v>61</v>
      </c>
      <c r="B104" s="1" t="s">
        <v>16</v>
      </c>
      <c r="C104" s="1" t="s">
        <v>46</v>
      </c>
      <c r="D104" s="1" t="s">
        <v>41</v>
      </c>
      <c r="E104" s="1">
        <v>387.68916400000001</v>
      </c>
      <c r="F104" s="1">
        <v>22</v>
      </c>
      <c r="G104" s="1">
        <v>45</v>
      </c>
      <c r="H104" s="1">
        <v>17.622235</v>
      </c>
      <c r="I104" s="1">
        <v>0.48888900000000002</v>
      </c>
      <c r="J104" s="1">
        <v>8615.3147559999998</v>
      </c>
      <c r="K104" s="1">
        <v>0</v>
      </c>
      <c r="L104" s="1">
        <v>0</v>
      </c>
      <c r="M104" s="1" t="s">
        <v>19</v>
      </c>
      <c r="N104" s="1" t="s">
        <v>20</v>
      </c>
      <c r="O104" s="1" t="s">
        <v>20</v>
      </c>
      <c r="P104" s="2">
        <f t="shared" si="2"/>
        <v>0</v>
      </c>
      <c r="Q104" s="2">
        <f t="shared" si="3"/>
        <v>0</v>
      </c>
    </row>
    <row r="105" spans="1:17" ht="12.5" x14ac:dyDescent="0.25">
      <c r="A105" s="1" t="s">
        <v>62</v>
      </c>
      <c r="B105" s="1" t="s">
        <v>16</v>
      </c>
      <c r="C105" s="1" t="s">
        <v>46</v>
      </c>
      <c r="D105" s="1" t="s">
        <v>41</v>
      </c>
      <c r="E105" s="1">
        <v>48.19</v>
      </c>
      <c r="F105" s="1">
        <v>13</v>
      </c>
      <c r="G105" s="1">
        <v>31</v>
      </c>
      <c r="H105" s="1">
        <v>3.7069230000000002</v>
      </c>
      <c r="I105" s="1">
        <v>0.41935499999999998</v>
      </c>
      <c r="J105" s="1">
        <v>1554.5161290000001</v>
      </c>
      <c r="K105" s="1">
        <v>0</v>
      </c>
      <c r="L105" s="1">
        <v>0</v>
      </c>
      <c r="M105" s="1" t="s">
        <v>19</v>
      </c>
      <c r="N105" s="1" t="s">
        <v>20</v>
      </c>
      <c r="O105" s="1" t="s">
        <v>20</v>
      </c>
      <c r="P105" s="2">
        <f t="shared" si="2"/>
        <v>0</v>
      </c>
      <c r="Q105" s="2">
        <f t="shared" si="3"/>
        <v>0</v>
      </c>
    </row>
    <row r="106" spans="1:17" ht="12.5" x14ac:dyDescent="0.25">
      <c r="A106" s="1" t="s">
        <v>63</v>
      </c>
      <c r="B106" s="1" t="s">
        <v>16</v>
      </c>
      <c r="C106" s="1" t="s">
        <v>46</v>
      </c>
      <c r="D106" s="1" t="s">
        <v>41</v>
      </c>
      <c r="E106" s="1">
        <v>196.16683399999999</v>
      </c>
      <c r="F106" s="1">
        <v>12</v>
      </c>
      <c r="G106" s="1">
        <v>34</v>
      </c>
      <c r="H106" s="1">
        <v>16.347235999999999</v>
      </c>
      <c r="I106" s="1">
        <v>0.352941</v>
      </c>
      <c r="J106" s="1">
        <v>5769.6127649999999</v>
      </c>
      <c r="K106" s="1">
        <v>0</v>
      </c>
      <c r="L106" s="1">
        <v>0</v>
      </c>
      <c r="M106" s="1" t="s">
        <v>19</v>
      </c>
      <c r="N106" s="1" t="s">
        <v>20</v>
      </c>
      <c r="O106" s="1" t="s">
        <v>20</v>
      </c>
      <c r="P106" s="2">
        <f t="shared" si="2"/>
        <v>0</v>
      </c>
      <c r="Q106" s="2">
        <f t="shared" si="3"/>
        <v>0</v>
      </c>
    </row>
    <row r="107" spans="1:17" ht="12.5" x14ac:dyDescent="0.25">
      <c r="A107" s="1" t="s">
        <v>64</v>
      </c>
      <c r="B107" s="1" t="s">
        <v>16</v>
      </c>
      <c r="C107" s="1" t="s">
        <v>46</v>
      </c>
      <c r="D107" s="1" t="s">
        <v>41</v>
      </c>
      <c r="E107" s="1">
        <v>1034.223988</v>
      </c>
      <c r="F107" s="1">
        <v>10</v>
      </c>
      <c r="G107" s="1">
        <v>27</v>
      </c>
      <c r="H107" s="1">
        <v>103.422399</v>
      </c>
      <c r="I107" s="1">
        <v>0.37036999999999998</v>
      </c>
      <c r="J107" s="1">
        <v>38304.592149999997</v>
      </c>
      <c r="K107" s="1">
        <v>0</v>
      </c>
      <c r="L107" s="1">
        <v>0</v>
      </c>
      <c r="M107" s="1" t="s">
        <v>19</v>
      </c>
      <c r="N107" s="1" t="s">
        <v>20</v>
      </c>
      <c r="O107" s="1" t="s">
        <v>20</v>
      </c>
      <c r="P107" s="2">
        <f t="shared" si="2"/>
        <v>0</v>
      </c>
      <c r="Q107" s="2">
        <f t="shared" si="3"/>
        <v>0</v>
      </c>
    </row>
    <row r="108" spans="1:17" ht="12.5" x14ac:dyDescent="0.25">
      <c r="A108" s="1" t="s">
        <v>45</v>
      </c>
      <c r="B108" s="1" t="s">
        <v>16</v>
      </c>
      <c r="C108" s="1" t="s">
        <v>46</v>
      </c>
      <c r="D108" s="1" t="s">
        <v>41</v>
      </c>
      <c r="E108" s="1">
        <v>1497.75</v>
      </c>
      <c r="F108" s="1">
        <v>8</v>
      </c>
      <c r="G108" s="1">
        <v>34</v>
      </c>
      <c r="H108" s="1">
        <v>187.21875</v>
      </c>
      <c r="I108" s="1">
        <v>0.235294</v>
      </c>
      <c r="J108" s="1">
        <v>44051.470589999997</v>
      </c>
      <c r="K108" s="1">
        <v>0</v>
      </c>
      <c r="L108" s="1">
        <v>0</v>
      </c>
      <c r="M108" s="1" t="s">
        <v>19</v>
      </c>
      <c r="N108" s="1" t="s">
        <v>20</v>
      </c>
      <c r="O108" s="1" t="s">
        <v>20</v>
      </c>
      <c r="P108" s="2">
        <f t="shared" si="2"/>
        <v>0</v>
      </c>
      <c r="Q108" s="2">
        <f t="shared" si="3"/>
        <v>0</v>
      </c>
    </row>
    <row r="109" spans="1:17" ht="12.5" x14ac:dyDescent="0.25">
      <c r="A109" s="1" t="s">
        <v>48</v>
      </c>
      <c r="B109" s="1" t="s">
        <v>16</v>
      </c>
      <c r="C109" s="1" t="s">
        <v>46</v>
      </c>
      <c r="D109" s="1" t="s">
        <v>41</v>
      </c>
      <c r="E109" s="1">
        <v>404.696663</v>
      </c>
      <c r="F109" s="1">
        <v>15</v>
      </c>
      <c r="G109" s="1">
        <v>50</v>
      </c>
      <c r="H109" s="1">
        <v>26.979778</v>
      </c>
      <c r="I109" s="1">
        <v>0.3</v>
      </c>
      <c r="J109" s="1">
        <v>8093.9332599999998</v>
      </c>
      <c r="K109" s="1">
        <v>0</v>
      </c>
      <c r="L109" s="1">
        <v>0</v>
      </c>
      <c r="M109" s="1" t="s">
        <v>19</v>
      </c>
      <c r="N109" s="1" t="s">
        <v>20</v>
      </c>
      <c r="O109" s="1" t="s">
        <v>20</v>
      </c>
      <c r="P109" s="2">
        <f t="shared" si="2"/>
        <v>0</v>
      </c>
      <c r="Q109" s="2">
        <f t="shared" si="3"/>
        <v>0</v>
      </c>
    </row>
    <row r="110" spans="1:17" ht="12.5" x14ac:dyDescent="0.25">
      <c r="A110" s="1" t="s">
        <v>49</v>
      </c>
      <c r="B110" s="1" t="s">
        <v>16</v>
      </c>
      <c r="C110" s="1" t="s">
        <v>46</v>
      </c>
      <c r="D110" s="1" t="s">
        <v>41</v>
      </c>
      <c r="E110" s="1">
        <v>32.79</v>
      </c>
      <c r="F110" s="1">
        <v>7</v>
      </c>
      <c r="G110" s="1">
        <v>26</v>
      </c>
      <c r="H110" s="1">
        <v>4.6842860000000002</v>
      </c>
      <c r="I110" s="1">
        <v>0.269231</v>
      </c>
      <c r="J110" s="1">
        <v>1261.1538459999999</v>
      </c>
      <c r="K110" s="1">
        <v>0</v>
      </c>
      <c r="L110" s="1">
        <v>0</v>
      </c>
      <c r="M110" s="1" t="s">
        <v>19</v>
      </c>
      <c r="N110" s="1" t="s">
        <v>20</v>
      </c>
      <c r="O110" s="1" t="s">
        <v>20</v>
      </c>
      <c r="P110" s="2">
        <f t="shared" si="2"/>
        <v>0</v>
      </c>
      <c r="Q110" s="2">
        <f t="shared" si="3"/>
        <v>0</v>
      </c>
    </row>
    <row r="111" spans="1:17" ht="12.5" x14ac:dyDescent="0.25">
      <c r="A111" s="1" t="s">
        <v>50</v>
      </c>
      <c r="B111" s="1" t="s">
        <v>16</v>
      </c>
      <c r="C111" s="1" t="s">
        <v>46</v>
      </c>
      <c r="D111" s="1" t="s">
        <v>41</v>
      </c>
      <c r="E111" s="1">
        <v>210.21</v>
      </c>
      <c r="F111" s="1">
        <v>10</v>
      </c>
      <c r="G111" s="1">
        <v>35</v>
      </c>
      <c r="H111" s="1">
        <v>21.021000000000001</v>
      </c>
      <c r="I111" s="1">
        <v>0.28571400000000002</v>
      </c>
      <c r="J111" s="1">
        <v>6006</v>
      </c>
      <c r="K111" s="1">
        <v>1</v>
      </c>
      <c r="L111" s="1">
        <v>13776.2</v>
      </c>
      <c r="M111" s="1" t="s">
        <v>19</v>
      </c>
      <c r="N111" s="1" t="s">
        <v>20</v>
      </c>
      <c r="O111" s="1" t="s">
        <v>20</v>
      </c>
      <c r="P111" s="2">
        <f t="shared" si="2"/>
        <v>7.2588957767744363E-5</v>
      </c>
      <c r="Q111" s="2">
        <f t="shared" si="3"/>
        <v>210.21</v>
      </c>
    </row>
    <row r="112" spans="1:17" ht="12.5" x14ac:dyDescent="0.25">
      <c r="A112" s="1" t="s">
        <v>51</v>
      </c>
      <c r="B112" s="1" t="s">
        <v>16</v>
      </c>
      <c r="C112" s="1" t="s">
        <v>46</v>
      </c>
      <c r="D112" s="1" t="s">
        <v>41</v>
      </c>
      <c r="E112" s="1">
        <v>369.73</v>
      </c>
      <c r="F112" s="1">
        <v>12</v>
      </c>
      <c r="G112" s="1">
        <v>32</v>
      </c>
      <c r="H112" s="1">
        <v>30.810832999999999</v>
      </c>
      <c r="I112" s="1">
        <v>0.375</v>
      </c>
      <c r="J112" s="1">
        <v>11554.0625</v>
      </c>
      <c r="K112" s="1">
        <v>0</v>
      </c>
      <c r="L112" s="1">
        <v>0</v>
      </c>
      <c r="M112" s="1" t="s">
        <v>19</v>
      </c>
      <c r="N112" s="1" t="s">
        <v>20</v>
      </c>
      <c r="O112" s="1" t="s">
        <v>20</v>
      </c>
      <c r="P112" s="2">
        <f t="shared" si="2"/>
        <v>0</v>
      </c>
      <c r="Q112" s="2">
        <f t="shared" si="3"/>
        <v>0</v>
      </c>
    </row>
    <row r="113" spans="1:17" ht="12.5" x14ac:dyDescent="0.25">
      <c r="A113" s="1" t="s">
        <v>65</v>
      </c>
      <c r="B113" s="1" t="s">
        <v>16</v>
      </c>
      <c r="C113" s="1" t="s">
        <v>46</v>
      </c>
      <c r="D113" s="1" t="s">
        <v>41</v>
      </c>
      <c r="E113" s="1">
        <v>36.659999999999997</v>
      </c>
      <c r="F113" s="1">
        <v>11</v>
      </c>
      <c r="G113" s="1">
        <v>31</v>
      </c>
      <c r="H113" s="1">
        <v>3.3327270000000002</v>
      </c>
      <c r="I113" s="1">
        <v>0.35483900000000002</v>
      </c>
      <c r="J113" s="1">
        <v>1182.580645</v>
      </c>
      <c r="K113" s="1">
        <v>0</v>
      </c>
      <c r="L113" s="1">
        <v>0</v>
      </c>
      <c r="M113" s="1" t="s">
        <v>19</v>
      </c>
      <c r="N113" s="1" t="s">
        <v>20</v>
      </c>
      <c r="O113" s="1" t="s">
        <v>20</v>
      </c>
      <c r="P113" s="2">
        <f t="shared" si="2"/>
        <v>0</v>
      </c>
      <c r="Q113" s="2">
        <f t="shared" si="3"/>
        <v>0</v>
      </c>
    </row>
    <row r="114" spans="1:17" ht="12.5" x14ac:dyDescent="0.25">
      <c r="A114" s="1" t="s">
        <v>52</v>
      </c>
      <c r="B114" s="1" t="s">
        <v>16</v>
      </c>
      <c r="C114" s="1" t="s">
        <v>46</v>
      </c>
      <c r="D114" s="1" t="s">
        <v>41</v>
      </c>
      <c r="E114" s="1">
        <v>544.266569</v>
      </c>
      <c r="F114" s="1">
        <v>12</v>
      </c>
      <c r="G114" s="1">
        <v>40</v>
      </c>
      <c r="H114" s="1">
        <v>45.355547000000001</v>
      </c>
      <c r="I114" s="1">
        <v>0.3</v>
      </c>
      <c r="J114" s="1">
        <v>13606.66423</v>
      </c>
      <c r="K114" s="1">
        <v>0</v>
      </c>
      <c r="L114" s="1">
        <v>0</v>
      </c>
      <c r="M114" s="1" t="s">
        <v>19</v>
      </c>
      <c r="N114" s="1" t="s">
        <v>20</v>
      </c>
      <c r="O114" s="1" t="s">
        <v>20</v>
      </c>
      <c r="P114" s="2">
        <f t="shared" si="2"/>
        <v>0</v>
      </c>
      <c r="Q114" s="2">
        <f t="shared" si="3"/>
        <v>0</v>
      </c>
    </row>
    <row r="115" spans="1:17" ht="12.5" x14ac:dyDescent="0.25">
      <c r="A115" s="1" t="s">
        <v>53</v>
      </c>
      <c r="B115" s="1" t="s">
        <v>16</v>
      </c>
      <c r="C115" s="1" t="s">
        <v>46</v>
      </c>
      <c r="D115" s="1" t="s">
        <v>41</v>
      </c>
      <c r="E115" s="1">
        <v>222.22977299999999</v>
      </c>
      <c r="F115" s="1">
        <v>8</v>
      </c>
      <c r="G115" s="1">
        <v>32</v>
      </c>
      <c r="H115" s="1">
        <v>27.778721999999998</v>
      </c>
      <c r="I115" s="1">
        <v>0.25</v>
      </c>
      <c r="J115" s="1">
        <v>6944.6804060000004</v>
      </c>
      <c r="K115" s="1">
        <v>0</v>
      </c>
      <c r="L115" s="1">
        <v>0</v>
      </c>
      <c r="M115" s="1" t="s">
        <v>19</v>
      </c>
      <c r="N115" s="1" t="s">
        <v>20</v>
      </c>
      <c r="O115" s="1" t="s">
        <v>20</v>
      </c>
      <c r="P115" s="2">
        <f t="shared" si="2"/>
        <v>0</v>
      </c>
      <c r="Q115" s="2">
        <f t="shared" si="3"/>
        <v>0</v>
      </c>
    </row>
    <row r="116" spans="1:17" ht="12.5" x14ac:dyDescent="0.25">
      <c r="A116" s="1" t="s">
        <v>54</v>
      </c>
      <c r="B116" s="1" t="s">
        <v>16</v>
      </c>
      <c r="C116" s="1" t="s">
        <v>46</v>
      </c>
      <c r="D116" s="1" t="s">
        <v>41</v>
      </c>
      <c r="E116" s="1">
        <v>323.82</v>
      </c>
      <c r="F116" s="1">
        <v>18</v>
      </c>
      <c r="G116" s="1">
        <v>41</v>
      </c>
      <c r="H116" s="1">
        <v>17.989999999999998</v>
      </c>
      <c r="I116" s="1">
        <v>0.43902400000000003</v>
      </c>
      <c r="J116" s="1">
        <v>7898.0487800000001</v>
      </c>
      <c r="K116" s="1">
        <v>1</v>
      </c>
      <c r="L116" s="1">
        <v>31616</v>
      </c>
      <c r="M116" s="1" t="s">
        <v>19</v>
      </c>
      <c r="N116" s="1" t="s">
        <v>20</v>
      </c>
      <c r="O116" s="1" t="s">
        <v>20</v>
      </c>
      <c r="P116" s="2">
        <f t="shared" si="2"/>
        <v>3.1629554655870446E-5</v>
      </c>
      <c r="Q116" s="2">
        <f t="shared" si="3"/>
        <v>323.82</v>
      </c>
    </row>
    <row r="117" spans="1:17" ht="12.5" x14ac:dyDescent="0.25">
      <c r="A117" s="1" t="s">
        <v>55</v>
      </c>
      <c r="B117" s="1" t="s">
        <v>16</v>
      </c>
      <c r="C117" s="1" t="s">
        <v>46</v>
      </c>
      <c r="D117" s="1" t="s">
        <v>41</v>
      </c>
      <c r="E117" s="1">
        <v>170.9</v>
      </c>
      <c r="F117" s="1">
        <v>20</v>
      </c>
      <c r="G117" s="1">
        <v>54</v>
      </c>
      <c r="H117" s="1">
        <v>8.5449999999999999</v>
      </c>
      <c r="I117" s="1">
        <v>0.37036999999999998</v>
      </c>
      <c r="J117" s="1">
        <v>3164.8148150000002</v>
      </c>
      <c r="K117" s="1">
        <v>0</v>
      </c>
      <c r="L117" s="1">
        <v>0</v>
      </c>
      <c r="M117" s="1" t="s">
        <v>19</v>
      </c>
      <c r="N117" s="1" t="s">
        <v>20</v>
      </c>
      <c r="O117" s="1" t="s">
        <v>20</v>
      </c>
      <c r="P117" s="2">
        <f t="shared" si="2"/>
        <v>0</v>
      </c>
      <c r="Q117" s="2">
        <f t="shared" si="3"/>
        <v>0</v>
      </c>
    </row>
    <row r="118" spans="1:17" ht="12.5" x14ac:dyDescent="0.25">
      <c r="A118" s="1" t="s">
        <v>45</v>
      </c>
      <c r="B118" s="1" t="s">
        <v>16</v>
      </c>
      <c r="C118" s="1" t="s">
        <v>56</v>
      </c>
      <c r="D118" s="1" t="s">
        <v>41</v>
      </c>
      <c r="E118" s="1">
        <v>45.689207000000003</v>
      </c>
      <c r="F118" s="1">
        <v>3</v>
      </c>
      <c r="G118" s="1">
        <v>227</v>
      </c>
      <c r="H118" s="1">
        <v>15.229736000000001</v>
      </c>
      <c r="I118" s="1">
        <v>1.3216E-2</v>
      </c>
      <c r="J118" s="1">
        <v>201.27404000000001</v>
      </c>
      <c r="K118" s="1">
        <v>0</v>
      </c>
      <c r="L118" s="1">
        <v>0</v>
      </c>
      <c r="M118" s="1" t="s">
        <v>19</v>
      </c>
      <c r="N118" s="1" t="s">
        <v>20</v>
      </c>
      <c r="O118" s="1" t="s">
        <v>20</v>
      </c>
      <c r="P118" s="2">
        <f t="shared" si="2"/>
        <v>0</v>
      </c>
      <c r="Q118" s="2">
        <f t="shared" si="3"/>
        <v>0</v>
      </c>
    </row>
    <row r="119" spans="1:17" ht="12.5" x14ac:dyDescent="0.25">
      <c r="A119" s="1" t="s">
        <v>48</v>
      </c>
      <c r="B119" s="1" t="s">
        <v>16</v>
      </c>
      <c r="C119" s="1" t="s">
        <v>56</v>
      </c>
      <c r="D119" s="1" t="s">
        <v>41</v>
      </c>
      <c r="E119" s="1">
        <v>529.50221499999998</v>
      </c>
      <c r="F119" s="1">
        <v>14</v>
      </c>
      <c r="G119" s="1">
        <v>491</v>
      </c>
      <c r="H119" s="1">
        <v>37.821587000000001</v>
      </c>
      <c r="I119" s="1">
        <v>2.8513E-2</v>
      </c>
      <c r="J119" s="1">
        <v>1078.4159159999999</v>
      </c>
      <c r="K119" s="1">
        <v>0</v>
      </c>
      <c r="L119" s="1">
        <v>0</v>
      </c>
      <c r="M119" s="1" t="s">
        <v>19</v>
      </c>
      <c r="N119" s="1" t="s">
        <v>20</v>
      </c>
      <c r="O119" s="1" t="s">
        <v>20</v>
      </c>
      <c r="P119" s="2">
        <f t="shared" si="2"/>
        <v>0</v>
      </c>
      <c r="Q119" s="2">
        <f t="shared" si="3"/>
        <v>0</v>
      </c>
    </row>
    <row r="120" spans="1:17" ht="12.5" x14ac:dyDescent="0.25">
      <c r="A120" s="1" t="s">
        <v>49</v>
      </c>
      <c r="B120" s="1" t="s">
        <v>16</v>
      </c>
      <c r="C120" s="1" t="s">
        <v>56</v>
      </c>
      <c r="D120" s="1" t="s">
        <v>41</v>
      </c>
      <c r="E120" s="1">
        <v>142.30687599999999</v>
      </c>
      <c r="F120" s="1">
        <v>7</v>
      </c>
      <c r="G120" s="1">
        <v>363</v>
      </c>
      <c r="H120" s="1">
        <v>20.329554000000002</v>
      </c>
      <c r="I120" s="1">
        <v>1.9283999999999999E-2</v>
      </c>
      <c r="J120" s="1">
        <v>392.02996100000001</v>
      </c>
      <c r="K120" s="1">
        <v>0</v>
      </c>
      <c r="L120" s="1">
        <v>0</v>
      </c>
      <c r="M120" s="1" t="s">
        <v>19</v>
      </c>
      <c r="N120" s="1" t="s">
        <v>20</v>
      </c>
      <c r="O120" s="1" t="s">
        <v>20</v>
      </c>
      <c r="P120" s="2">
        <f t="shared" si="2"/>
        <v>0</v>
      </c>
      <c r="Q120" s="2">
        <f t="shared" si="3"/>
        <v>0</v>
      </c>
    </row>
    <row r="121" spans="1:17" ht="12.5" x14ac:dyDescent="0.25">
      <c r="A121" s="1" t="s">
        <v>50</v>
      </c>
      <c r="B121" s="1" t="s">
        <v>16</v>
      </c>
      <c r="C121" s="1" t="s">
        <v>56</v>
      </c>
      <c r="D121" s="1" t="s">
        <v>41</v>
      </c>
      <c r="E121" s="1">
        <v>16.55</v>
      </c>
      <c r="F121" s="1">
        <v>1</v>
      </c>
      <c r="G121" s="1">
        <v>204</v>
      </c>
      <c r="H121" s="1">
        <v>16.55</v>
      </c>
      <c r="I121" s="1">
        <v>4.9020000000000001E-3</v>
      </c>
      <c r="J121" s="1">
        <v>81.127450999999994</v>
      </c>
      <c r="K121" s="1">
        <v>0</v>
      </c>
      <c r="L121" s="1">
        <v>0</v>
      </c>
      <c r="M121" s="1" t="s">
        <v>19</v>
      </c>
      <c r="N121" s="1" t="s">
        <v>20</v>
      </c>
      <c r="O121" s="1" t="s">
        <v>20</v>
      </c>
      <c r="P121" s="2">
        <f t="shared" si="2"/>
        <v>0</v>
      </c>
      <c r="Q121" s="2">
        <f t="shared" si="3"/>
        <v>0</v>
      </c>
    </row>
    <row r="122" spans="1:17" ht="12.5" x14ac:dyDescent="0.25">
      <c r="A122" s="1" t="s">
        <v>51</v>
      </c>
      <c r="B122" s="1" t="s">
        <v>16</v>
      </c>
      <c r="C122" s="1" t="s">
        <v>56</v>
      </c>
      <c r="D122" s="1" t="s">
        <v>41</v>
      </c>
      <c r="E122" s="1">
        <v>215.916686</v>
      </c>
      <c r="F122" s="1">
        <v>6</v>
      </c>
      <c r="G122" s="1">
        <v>222</v>
      </c>
      <c r="H122" s="1">
        <v>35.986114000000001</v>
      </c>
      <c r="I122" s="1">
        <v>2.7026999999999999E-2</v>
      </c>
      <c r="J122" s="1">
        <v>972.59768499999996</v>
      </c>
      <c r="K122" s="1">
        <v>0</v>
      </c>
      <c r="L122" s="1">
        <v>0</v>
      </c>
      <c r="M122" s="1" t="s">
        <v>19</v>
      </c>
      <c r="N122" s="1" t="s">
        <v>20</v>
      </c>
      <c r="O122" s="1" t="s">
        <v>20</v>
      </c>
      <c r="P122" s="2">
        <f t="shared" si="2"/>
        <v>0</v>
      </c>
      <c r="Q122" s="2">
        <f t="shared" si="3"/>
        <v>0</v>
      </c>
    </row>
    <row r="123" spans="1:17" ht="12.5" x14ac:dyDescent="0.25">
      <c r="A123" s="1" t="s">
        <v>65</v>
      </c>
      <c r="B123" s="1" t="s">
        <v>16</v>
      </c>
      <c r="C123" s="1" t="s">
        <v>56</v>
      </c>
      <c r="D123" s="1" t="s">
        <v>41</v>
      </c>
      <c r="E123" s="1">
        <v>43.741501</v>
      </c>
      <c r="F123" s="1">
        <v>3</v>
      </c>
      <c r="G123" s="1">
        <v>273</v>
      </c>
      <c r="H123" s="1">
        <v>14.580500000000001</v>
      </c>
      <c r="I123" s="1">
        <v>1.0989000000000001E-2</v>
      </c>
      <c r="J123" s="1">
        <v>160.225278</v>
      </c>
      <c r="K123" s="1">
        <v>0</v>
      </c>
      <c r="L123" s="1">
        <v>0</v>
      </c>
      <c r="M123" s="1" t="s">
        <v>19</v>
      </c>
      <c r="N123" s="1" t="s">
        <v>20</v>
      </c>
      <c r="O123" s="1" t="s">
        <v>20</v>
      </c>
      <c r="P123" s="2">
        <f t="shared" si="2"/>
        <v>0</v>
      </c>
      <c r="Q123" s="2">
        <f t="shared" si="3"/>
        <v>0</v>
      </c>
    </row>
    <row r="124" spans="1:17" ht="12.5" x14ac:dyDescent="0.25">
      <c r="A124" s="1" t="s">
        <v>52</v>
      </c>
      <c r="B124" s="1" t="s">
        <v>16</v>
      </c>
      <c r="C124" s="1" t="s">
        <v>56</v>
      </c>
      <c r="D124" s="1" t="s">
        <v>41</v>
      </c>
      <c r="E124" s="1">
        <v>271.493157</v>
      </c>
      <c r="F124" s="1">
        <v>10</v>
      </c>
      <c r="G124" s="1">
        <v>781</v>
      </c>
      <c r="H124" s="1">
        <v>27.149315999999999</v>
      </c>
      <c r="I124" s="1">
        <v>1.2803999999999999E-2</v>
      </c>
      <c r="J124" s="1">
        <v>347.62248</v>
      </c>
      <c r="K124" s="1">
        <v>0</v>
      </c>
      <c r="L124" s="1">
        <v>0</v>
      </c>
      <c r="M124" s="1" t="s">
        <v>19</v>
      </c>
      <c r="N124" s="1" t="s">
        <v>20</v>
      </c>
      <c r="O124" s="1" t="s">
        <v>20</v>
      </c>
      <c r="P124" s="2">
        <f t="shared" si="2"/>
        <v>0</v>
      </c>
      <c r="Q124" s="2">
        <f t="shared" si="3"/>
        <v>0</v>
      </c>
    </row>
    <row r="125" spans="1:17" ht="12.5" x14ac:dyDescent="0.25">
      <c r="A125" s="1" t="s">
        <v>53</v>
      </c>
      <c r="B125" s="1" t="s">
        <v>16</v>
      </c>
      <c r="C125" s="1" t="s">
        <v>56</v>
      </c>
      <c r="D125" s="1" t="s">
        <v>41</v>
      </c>
      <c r="E125" s="1">
        <v>152.28959599999999</v>
      </c>
      <c r="F125" s="1">
        <v>8</v>
      </c>
      <c r="G125" s="1">
        <v>514</v>
      </c>
      <c r="H125" s="1">
        <v>19.036200000000001</v>
      </c>
      <c r="I125" s="1">
        <v>1.5564E-2</v>
      </c>
      <c r="J125" s="1">
        <v>296.28326099999998</v>
      </c>
      <c r="K125" s="1">
        <v>0</v>
      </c>
      <c r="L125" s="1">
        <v>0</v>
      </c>
      <c r="M125" s="1" t="s">
        <v>19</v>
      </c>
      <c r="N125" s="1" t="s">
        <v>20</v>
      </c>
      <c r="O125" s="1" t="s">
        <v>20</v>
      </c>
      <c r="P125" s="2">
        <f t="shared" si="2"/>
        <v>0</v>
      </c>
      <c r="Q125" s="2">
        <f t="shared" si="3"/>
        <v>0</v>
      </c>
    </row>
    <row r="126" spans="1:17" ht="12.5" x14ac:dyDescent="0.25">
      <c r="A126" s="1" t="s">
        <v>54</v>
      </c>
      <c r="B126" s="1" t="s">
        <v>16</v>
      </c>
      <c r="C126" s="1" t="s">
        <v>56</v>
      </c>
      <c r="D126" s="1" t="s">
        <v>41</v>
      </c>
      <c r="E126" s="1">
        <v>550.75095199999998</v>
      </c>
      <c r="F126" s="1">
        <v>20</v>
      </c>
      <c r="G126" s="1">
        <v>611</v>
      </c>
      <c r="H126" s="1">
        <v>27.537548000000001</v>
      </c>
      <c r="I126" s="1">
        <v>3.2732999999999998E-2</v>
      </c>
      <c r="J126" s="1">
        <v>901.39272000000005</v>
      </c>
      <c r="K126" s="1">
        <v>0</v>
      </c>
      <c r="L126" s="1">
        <v>0</v>
      </c>
      <c r="M126" s="1" t="s">
        <v>19</v>
      </c>
      <c r="N126" s="1" t="s">
        <v>20</v>
      </c>
      <c r="O126" s="1" t="s">
        <v>20</v>
      </c>
      <c r="P126" s="2">
        <f t="shared" si="2"/>
        <v>0</v>
      </c>
      <c r="Q126" s="2">
        <f t="shared" si="3"/>
        <v>0</v>
      </c>
    </row>
    <row r="127" spans="1:17" ht="12.5" x14ac:dyDescent="0.25">
      <c r="A127" s="1" t="s">
        <v>55</v>
      </c>
      <c r="B127" s="1" t="s">
        <v>16</v>
      </c>
      <c r="C127" s="1" t="s">
        <v>56</v>
      </c>
      <c r="D127" s="1" t="s">
        <v>41</v>
      </c>
      <c r="E127" s="1">
        <v>251.63</v>
      </c>
      <c r="F127" s="1">
        <v>3</v>
      </c>
      <c r="G127" s="1">
        <v>421</v>
      </c>
      <c r="H127" s="1">
        <v>83.876666999999998</v>
      </c>
      <c r="I127" s="1">
        <v>7.1260000000000004E-3</v>
      </c>
      <c r="J127" s="1">
        <v>597.69596200000001</v>
      </c>
      <c r="K127" s="1">
        <v>0</v>
      </c>
      <c r="L127" s="1">
        <v>0</v>
      </c>
      <c r="M127" s="1" t="s">
        <v>19</v>
      </c>
      <c r="N127" s="1" t="s">
        <v>20</v>
      </c>
      <c r="O127" s="1" t="s">
        <v>20</v>
      </c>
      <c r="P127" s="2">
        <f t="shared" si="2"/>
        <v>0</v>
      </c>
      <c r="Q127" s="2">
        <f t="shared" si="3"/>
        <v>0</v>
      </c>
    </row>
    <row r="128" spans="1:17" ht="12.5" x14ac:dyDescent="0.25">
      <c r="A128" s="3">
        <v>46028</v>
      </c>
      <c r="B128" s="1" t="s">
        <v>16</v>
      </c>
      <c r="C128" s="1" t="s">
        <v>66</v>
      </c>
      <c r="D128" s="1" t="s">
        <v>18</v>
      </c>
      <c r="E128" s="1">
        <v>569.89</v>
      </c>
      <c r="F128" s="1">
        <v>57</v>
      </c>
      <c r="G128" s="1">
        <v>4746</v>
      </c>
      <c r="H128" s="1">
        <v>9.9980700000000002</v>
      </c>
      <c r="I128" s="1">
        <v>1.201E-2</v>
      </c>
      <c r="J128" s="1">
        <v>120.07796</v>
      </c>
      <c r="K128" s="1">
        <v>0</v>
      </c>
      <c r="L128" s="1">
        <v>0</v>
      </c>
      <c r="M128" s="1" t="s">
        <v>31</v>
      </c>
      <c r="N128" s="1" t="s">
        <v>31</v>
      </c>
      <c r="O128" s="1" t="s">
        <v>31</v>
      </c>
      <c r="P128" s="2">
        <f t="shared" si="2"/>
        <v>0</v>
      </c>
      <c r="Q128" s="2">
        <f t="shared" si="3"/>
        <v>0</v>
      </c>
    </row>
    <row r="129" spans="1:17" ht="12.5" x14ac:dyDescent="0.25">
      <c r="A129" s="3">
        <v>46059</v>
      </c>
      <c r="B129" s="1" t="s">
        <v>16</v>
      </c>
      <c r="C129" s="1" t="s">
        <v>66</v>
      </c>
      <c r="D129" s="1" t="s">
        <v>18</v>
      </c>
      <c r="E129" s="1">
        <v>1506.82</v>
      </c>
      <c r="F129" s="1">
        <v>168</v>
      </c>
      <c r="G129" s="1">
        <v>14213</v>
      </c>
      <c r="H129" s="1">
        <v>8.9691670000000006</v>
      </c>
      <c r="I129" s="1">
        <v>1.1820000000000001E-2</v>
      </c>
      <c r="J129" s="1">
        <v>106.017027</v>
      </c>
      <c r="K129" s="1">
        <v>0</v>
      </c>
      <c r="L129" s="1">
        <v>0</v>
      </c>
      <c r="M129" s="1" t="s">
        <v>31</v>
      </c>
      <c r="N129" s="1" t="s">
        <v>31</v>
      </c>
      <c r="O129" s="1" t="s">
        <v>31</v>
      </c>
      <c r="P129" s="2">
        <f t="shared" si="2"/>
        <v>0</v>
      </c>
      <c r="Q129" s="2">
        <f t="shared" si="3"/>
        <v>0</v>
      </c>
    </row>
    <row r="130" spans="1:17" ht="12.5" x14ac:dyDescent="0.25">
      <c r="A130" s="3">
        <v>46087</v>
      </c>
      <c r="B130" s="1" t="s">
        <v>16</v>
      </c>
      <c r="C130" s="1" t="s">
        <v>66</v>
      </c>
      <c r="D130" s="1" t="s">
        <v>18</v>
      </c>
      <c r="E130" s="1">
        <v>439.63</v>
      </c>
      <c r="F130" s="1">
        <v>54</v>
      </c>
      <c r="G130" s="1">
        <v>6436</v>
      </c>
      <c r="H130" s="1">
        <v>8.1412960000000005</v>
      </c>
      <c r="I130" s="1">
        <v>8.3899999999999999E-3</v>
      </c>
      <c r="J130" s="1">
        <v>68.307955000000007</v>
      </c>
      <c r="K130" s="1">
        <v>0</v>
      </c>
      <c r="L130" s="1">
        <v>0</v>
      </c>
      <c r="M130" s="1" t="s">
        <v>31</v>
      </c>
      <c r="N130" s="1" t="s">
        <v>31</v>
      </c>
      <c r="O130" s="1" t="s">
        <v>31</v>
      </c>
      <c r="P130" s="2">
        <f t="shared" si="2"/>
        <v>0</v>
      </c>
      <c r="Q130" s="2">
        <f t="shared" si="3"/>
        <v>0</v>
      </c>
    </row>
    <row r="131" spans="1:17" ht="12.5" x14ac:dyDescent="0.25">
      <c r="A131" s="3">
        <v>46118</v>
      </c>
      <c r="B131" s="1" t="s">
        <v>16</v>
      </c>
      <c r="C131" s="1" t="s">
        <v>66</v>
      </c>
      <c r="D131" s="1" t="s">
        <v>18</v>
      </c>
      <c r="E131" s="1">
        <v>43.71</v>
      </c>
      <c r="F131" s="1">
        <v>8</v>
      </c>
      <c r="G131" s="1">
        <v>841</v>
      </c>
      <c r="H131" s="1">
        <v>5.4637500000000001</v>
      </c>
      <c r="I131" s="1">
        <v>9.5119999999999996E-3</v>
      </c>
      <c r="J131" s="1">
        <v>51.973841</v>
      </c>
      <c r="K131" s="1">
        <v>0</v>
      </c>
      <c r="L131" s="1">
        <v>0</v>
      </c>
      <c r="M131" s="1" t="s">
        <v>31</v>
      </c>
      <c r="N131" s="1" t="s">
        <v>31</v>
      </c>
      <c r="O131" s="1" t="s">
        <v>31</v>
      </c>
      <c r="P131" s="2">
        <f t="shared" ref="P131:P194" si="4">IFERROR(K131/ L131, 0)</f>
        <v>0</v>
      </c>
      <c r="Q131" s="2">
        <f t="shared" ref="Q131:Q194" si="5">IFERROR(E131/K131, 0)</f>
        <v>0</v>
      </c>
    </row>
    <row r="132" spans="1:17" ht="12.5" x14ac:dyDescent="0.25">
      <c r="A132" s="3">
        <v>46148</v>
      </c>
      <c r="B132" s="1" t="s">
        <v>16</v>
      </c>
      <c r="C132" s="1" t="s">
        <v>66</v>
      </c>
      <c r="D132" s="1" t="s">
        <v>18</v>
      </c>
      <c r="E132" s="1">
        <v>5.33</v>
      </c>
      <c r="F132" s="1">
        <v>10</v>
      </c>
      <c r="G132" s="1">
        <v>468</v>
      </c>
      <c r="H132" s="1">
        <v>0.53300000000000003</v>
      </c>
      <c r="I132" s="1">
        <v>2.1368000000000002E-2</v>
      </c>
      <c r="J132" s="1">
        <v>11.388889000000001</v>
      </c>
      <c r="K132" s="1">
        <v>0</v>
      </c>
      <c r="L132" s="1">
        <v>0</v>
      </c>
      <c r="M132" s="1" t="s">
        <v>31</v>
      </c>
      <c r="N132" s="1" t="s">
        <v>31</v>
      </c>
      <c r="O132" s="1" t="s">
        <v>31</v>
      </c>
      <c r="P132" s="2">
        <f t="shared" si="4"/>
        <v>0</v>
      </c>
      <c r="Q132" s="2">
        <f t="shared" si="5"/>
        <v>0</v>
      </c>
    </row>
    <row r="133" spans="1:17" ht="12.5" x14ac:dyDescent="0.25">
      <c r="A133" s="3">
        <v>46179</v>
      </c>
      <c r="B133" s="1" t="s">
        <v>16</v>
      </c>
      <c r="C133" s="1" t="s">
        <v>66</v>
      </c>
      <c r="D133" s="1" t="s">
        <v>18</v>
      </c>
      <c r="E133" s="1">
        <v>2.97</v>
      </c>
      <c r="F133" s="1">
        <v>3</v>
      </c>
      <c r="G133" s="1">
        <v>277</v>
      </c>
      <c r="H133" s="1">
        <v>0.99</v>
      </c>
      <c r="I133" s="1">
        <v>1.0829999999999999E-2</v>
      </c>
      <c r="J133" s="1">
        <v>10.722022000000001</v>
      </c>
      <c r="K133" s="1">
        <v>0</v>
      </c>
      <c r="L133" s="1">
        <v>0</v>
      </c>
      <c r="M133" s="1" t="s">
        <v>31</v>
      </c>
      <c r="N133" s="1" t="s">
        <v>31</v>
      </c>
      <c r="O133" s="1" t="s">
        <v>31</v>
      </c>
      <c r="P133" s="2">
        <f t="shared" si="4"/>
        <v>0</v>
      </c>
      <c r="Q133" s="2">
        <f t="shared" si="5"/>
        <v>0</v>
      </c>
    </row>
    <row r="134" spans="1:17" ht="12.5" x14ac:dyDescent="0.25">
      <c r="A134" s="3">
        <v>46209</v>
      </c>
      <c r="B134" s="1" t="s">
        <v>16</v>
      </c>
      <c r="C134" s="1" t="s">
        <v>66</v>
      </c>
      <c r="D134" s="1" t="s">
        <v>18</v>
      </c>
      <c r="E134" s="1">
        <v>45.25</v>
      </c>
      <c r="F134" s="1">
        <v>9</v>
      </c>
      <c r="G134" s="1">
        <v>309</v>
      </c>
      <c r="H134" s="1">
        <v>5.0277779999999996</v>
      </c>
      <c r="I134" s="1">
        <v>2.9125999999999999E-2</v>
      </c>
      <c r="J134" s="1">
        <v>146.44012900000001</v>
      </c>
      <c r="K134" s="1">
        <v>0</v>
      </c>
      <c r="L134" s="1">
        <v>0</v>
      </c>
      <c r="M134" s="1" t="s">
        <v>31</v>
      </c>
      <c r="N134" s="1" t="s">
        <v>31</v>
      </c>
      <c r="O134" s="1" t="s">
        <v>31</v>
      </c>
      <c r="P134" s="2">
        <f t="shared" si="4"/>
        <v>0</v>
      </c>
      <c r="Q134" s="2">
        <f t="shared" si="5"/>
        <v>0</v>
      </c>
    </row>
    <row r="135" spans="1:17" ht="12.5" x14ac:dyDescent="0.25">
      <c r="A135" s="3">
        <v>46240</v>
      </c>
      <c r="B135" s="1" t="s">
        <v>16</v>
      </c>
      <c r="C135" s="1" t="s">
        <v>66</v>
      </c>
      <c r="D135" s="1" t="s">
        <v>18</v>
      </c>
      <c r="E135" s="1">
        <v>9.25</v>
      </c>
      <c r="F135" s="1">
        <v>3</v>
      </c>
      <c r="G135" s="1">
        <v>209</v>
      </c>
      <c r="H135" s="1">
        <v>3.0833330000000001</v>
      </c>
      <c r="I135" s="1">
        <v>1.4354E-2</v>
      </c>
      <c r="J135" s="1">
        <v>44.258372999999999</v>
      </c>
      <c r="K135" s="1">
        <v>0</v>
      </c>
      <c r="L135" s="1">
        <v>0</v>
      </c>
      <c r="M135" s="1" t="s">
        <v>31</v>
      </c>
      <c r="N135" s="1" t="s">
        <v>31</v>
      </c>
      <c r="O135" s="1" t="s">
        <v>31</v>
      </c>
      <c r="P135" s="2">
        <f t="shared" si="4"/>
        <v>0</v>
      </c>
      <c r="Q135" s="2">
        <f t="shared" si="5"/>
        <v>0</v>
      </c>
    </row>
    <row r="136" spans="1:17" ht="12.5" x14ac:dyDescent="0.25">
      <c r="A136" s="3">
        <v>46271</v>
      </c>
      <c r="B136" s="1" t="s">
        <v>16</v>
      </c>
      <c r="C136" s="1" t="s">
        <v>66</v>
      </c>
      <c r="D136" s="1" t="s">
        <v>18</v>
      </c>
      <c r="E136" s="1">
        <v>38.86</v>
      </c>
      <c r="F136" s="1">
        <v>6</v>
      </c>
      <c r="G136" s="1">
        <v>570</v>
      </c>
      <c r="H136" s="1">
        <v>6.476667</v>
      </c>
      <c r="I136" s="1">
        <v>1.0526000000000001E-2</v>
      </c>
      <c r="J136" s="1">
        <v>68.175438999999997</v>
      </c>
      <c r="K136" s="1">
        <v>0</v>
      </c>
      <c r="L136" s="1">
        <v>0</v>
      </c>
      <c r="M136" s="1" t="s">
        <v>31</v>
      </c>
      <c r="N136" s="1" t="s">
        <v>31</v>
      </c>
      <c r="O136" s="1" t="s">
        <v>31</v>
      </c>
      <c r="P136" s="2">
        <f t="shared" si="4"/>
        <v>0</v>
      </c>
      <c r="Q136" s="2">
        <f t="shared" si="5"/>
        <v>0</v>
      </c>
    </row>
    <row r="137" spans="1:17" ht="12.5" x14ac:dyDescent="0.25">
      <c r="A137" s="3">
        <v>46301</v>
      </c>
      <c r="B137" s="1" t="s">
        <v>16</v>
      </c>
      <c r="C137" s="1" t="s">
        <v>66</v>
      </c>
      <c r="D137" s="1" t="s">
        <v>18</v>
      </c>
      <c r="E137" s="1">
        <v>63.04</v>
      </c>
      <c r="F137" s="1">
        <v>16</v>
      </c>
      <c r="G137" s="1">
        <v>1033</v>
      </c>
      <c r="H137" s="1">
        <v>3.94</v>
      </c>
      <c r="I137" s="1">
        <v>1.5488999999999999E-2</v>
      </c>
      <c r="J137" s="1">
        <v>61.026136999999999</v>
      </c>
      <c r="K137" s="1">
        <v>0</v>
      </c>
      <c r="L137" s="1">
        <v>0</v>
      </c>
      <c r="M137" s="1" t="s">
        <v>31</v>
      </c>
      <c r="N137" s="1" t="s">
        <v>31</v>
      </c>
      <c r="O137" s="1" t="s">
        <v>31</v>
      </c>
      <c r="P137" s="2">
        <f t="shared" si="4"/>
        <v>0</v>
      </c>
      <c r="Q137" s="2">
        <f t="shared" si="5"/>
        <v>0</v>
      </c>
    </row>
    <row r="138" spans="1:17" ht="12.5" x14ac:dyDescent="0.25">
      <c r="A138" s="3">
        <v>46332</v>
      </c>
      <c r="B138" s="1" t="s">
        <v>16</v>
      </c>
      <c r="C138" s="1" t="s">
        <v>66</v>
      </c>
      <c r="D138" s="1" t="s">
        <v>18</v>
      </c>
      <c r="E138" s="1">
        <v>269.93</v>
      </c>
      <c r="F138" s="1">
        <v>38</v>
      </c>
      <c r="G138" s="1">
        <v>2158</v>
      </c>
      <c r="H138" s="1">
        <v>7.103421</v>
      </c>
      <c r="I138" s="1">
        <v>1.7609E-2</v>
      </c>
      <c r="J138" s="1">
        <v>125.083411</v>
      </c>
      <c r="K138" s="1">
        <v>0</v>
      </c>
      <c r="L138" s="1">
        <v>0</v>
      </c>
      <c r="M138" s="1" t="s">
        <v>31</v>
      </c>
      <c r="N138" s="1" t="s">
        <v>31</v>
      </c>
      <c r="O138" s="1" t="s">
        <v>31</v>
      </c>
      <c r="P138" s="2">
        <f t="shared" si="4"/>
        <v>0</v>
      </c>
      <c r="Q138" s="2">
        <f t="shared" si="5"/>
        <v>0</v>
      </c>
    </row>
    <row r="139" spans="1:17" ht="12.5" x14ac:dyDescent="0.25">
      <c r="A139" s="3">
        <v>46362</v>
      </c>
      <c r="B139" s="1" t="s">
        <v>16</v>
      </c>
      <c r="C139" s="1" t="s">
        <v>66</v>
      </c>
      <c r="D139" s="1" t="s">
        <v>18</v>
      </c>
      <c r="E139" s="1">
        <v>292.66000000000003</v>
      </c>
      <c r="F139" s="1">
        <v>48</v>
      </c>
      <c r="G139" s="1">
        <v>4112</v>
      </c>
      <c r="H139" s="1">
        <v>6.0970829999999996</v>
      </c>
      <c r="I139" s="1">
        <v>1.1672999999999999E-2</v>
      </c>
      <c r="J139" s="1">
        <v>71.172179</v>
      </c>
      <c r="K139" s="1">
        <v>0</v>
      </c>
      <c r="L139" s="1">
        <v>0</v>
      </c>
      <c r="M139" s="1" t="s">
        <v>31</v>
      </c>
      <c r="N139" s="1" t="s">
        <v>31</v>
      </c>
      <c r="O139" s="1" t="s">
        <v>31</v>
      </c>
      <c r="P139" s="2">
        <f t="shared" si="4"/>
        <v>0</v>
      </c>
      <c r="Q139" s="2">
        <f t="shared" si="5"/>
        <v>0</v>
      </c>
    </row>
    <row r="140" spans="1:17" ht="12.5" x14ac:dyDescent="0.25">
      <c r="A140" s="1" t="s">
        <v>57</v>
      </c>
      <c r="B140" s="1" t="s">
        <v>16</v>
      </c>
      <c r="C140" s="1" t="s">
        <v>66</v>
      </c>
      <c r="D140" s="1" t="s">
        <v>18</v>
      </c>
      <c r="E140" s="1">
        <v>999.85</v>
      </c>
      <c r="F140" s="1">
        <v>79</v>
      </c>
      <c r="G140" s="1">
        <v>5527</v>
      </c>
      <c r="H140" s="1">
        <v>12.656328999999999</v>
      </c>
      <c r="I140" s="1">
        <v>1.4293E-2</v>
      </c>
      <c r="J140" s="1">
        <v>180.902841</v>
      </c>
      <c r="K140" s="1">
        <v>0</v>
      </c>
      <c r="L140" s="1">
        <v>0</v>
      </c>
      <c r="M140" s="1" t="s">
        <v>31</v>
      </c>
      <c r="N140" s="1" t="s">
        <v>31</v>
      </c>
      <c r="O140" s="1" t="s">
        <v>31</v>
      </c>
      <c r="P140" s="2">
        <f t="shared" si="4"/>
        <v>0</v>
      </c>
      <c r="Q140" s="2">
        <f t="shared" si="5"/>
        <v>0</v>
      </c>
    </row>
    <row r="141" spans="1:17" ht="12.5" x14ac:dyDescent="0.25">
      <c r="A141" s="1" t="s">
        <v>58</v>
      </c>
      <c r="B141" s="1" t="s">
        <v>16</v>
      </c>
      <c r="C141" s="1" t="s">
        <v>66</v>
      </c>
      <c r="D141" s="1" t="s">
        <v>18</v>
      </c>
      <c r="E141" s="1">
        <v>720.74</v>
      </c>
      <c r="F141" s="1">
        <v>89</v>
      </c>
      <c r="G141" s="1">
        <v>5382</v>
      </c>
      <c r="H141" s="1">
        <v>8.0982020000000006</v>
      </c>
      <c r="I141" s="1">
        <v>1.6537E-2</v>
      </c>
      <c r="J141" s="1">
        <v>133.91676000000001</v>
      </c>
      <c r="K141" s="1">
        <v>0</v>
      </c>
      <c r="L141" s="1">
        <v>0</v>
      </c>
      <c r="M141" s="1" t="s">
        <v>31</v>
      </c>
      <c r="N141" s="1" t="s">
        <v>31</v>
      </c>
      <c r="O141" s="1" t="s">
        <v>31</v>
      </c>
      <c r="P141" s="2">
        <f t="shared" si="4"/>
        <v>0</v>
      </c>
      <c r="Q141" s="2">
        <f t="shared" si="5"/>
        <v>0</v>
      </c>
    </row>
    <row r="142" spans="1:17" ht="12.5" x14ac:dyDescent="0.25">
      <c r="A142" s="1" t="s">
        <v>59</v>
      </c>
      <c r="B142" s="1" t="s">
        <v>16</v>
      </c>
      <c r="C142" s="1" t="s">
        <v>66</v>
      </c>
      <c r="D142" s="1" t="s">
        <v>18</v>
      </c>
      <c r="E142" s="1">
        <v>999.97</v>
      </c>
      <c r="F142" s="1">
        <v>69</v>
      </c>
      <c r="G142" s="1">
        <v>5424</v>
      </c>
      <c r="H142" s="1">
        <v>14.492319</v>
      </c>
      <c r="I142" s="1">
        <v>1.2721E-2</v>
      </c>
      <c r="J142" s="1">
        <v>184.36025100000001</v>
      </c>
      <c r="K142" s="1">
        <v>0</v>
      </c>
      <c r="L142" s="1">
        <v>0</v>
      </c>
      <c r="M142" s="1" t="s">
        <v>31</v>
      </c>
      <c r="N142" s="1" t="s">
        <v>31</v>
      </c>
      <c r="O142" s="1" t="s">
        <v>31</v>
      </c>
      <c r="P142" s="2">
        <f t="shared" si="4"/>
        <v>0</v>
      </c>
      <c r="Q142" s="2">
        <f t="shared" si="5"/>
        <v>0</v>
      </c>
    </row>
    <row r="143" spans="1:17" ht="12.5" x14ac:dyDescent="0.25">
      <c r="A143" s="1" t="s">
        <v>60</v>
      </c>
      <c r="B143" s="1" t="s">
        <v>16</v>
      </c>
      <c r="C143" s="1" t="s">
        <v>66</v>
      </c>
      <c r="D143" s="1" t="s">
        <v>18</v>
      </c>
      <c r="E143" s="1">
        <v>999.98</v>
      </c>
      <c r="F143" s="1">
        <v>136</v>
      </c>
      <c r="G143" s="1">
        <v>9144</v>
      </c>
      <c r="H143" s="1">
        <v>7.3527940000000003</v>
      </c>
      <c r="I143" s="1">
        <v>1.4873000000000001E-2</v>
      </c>
      <c r="J143" s="1">
        <v>109.359143</v>
      </c>
      <c r="K143" s="1">
        <v>0.03</v>
      </c>
      <c r="L143" s="1">
        <v>128.71188000000001</v>
      </c>
      <c r="M143" s="1" t="s">
        <v>31</v>
      </c>
      <c r="N143" s="1" t="s">
        <v>31</v>
      </c>
      <c r="O143" s="1" t="s">
        <v>31</v>
      </c>
      <c r="P143" s="2">
        <f t="shared" si="4"/>
        <v>2.3307871814163539E-4</v>
      </c>
      <c r="Q143" s="2">
        <f t="shared" si="5"/>
        <v>33332.666666666672</v>
      </c>
    </row>
    <row r="144" spans="1:17" ht="12.5" x14ac:dyDescent="0.25">
      <c r="A144" s="1" t="s">
        <v>61</v>
      </c>
      <c r="B144" s="1" t="s">
        <v>16</v>
      </c>
      <c r="C144" s="1" t="s">
        <v>66</v>
      </c>
      <c r="D144" s="1" t="s">
        <v>18</v>
      </c>
      <c r="E144" s="1">
        <v>693.13</v>
      </c>
      <c r="F144" s="1">
        <v>112</v>
      </c>
      <c r="G144" s="1">
        <v>6873</v>
      </c>
      <c r="H144" s="1">
        <v>6.1886609999999997</v>
      </c>
      <c r="I144" s="1">
        <v>1.6296000000000001E-2</v>
      </c>
      <c r="J144" s="1">
        <v>100.848247</v>
      </c>
      <c r="K144" s="1">
        <v>0</v>
      </c>
      <c r="L144" s="1">
        <v>0</v>
      </c>
      <c r="M144" s="1" t="s">
        <v>31</v>
      </c>
      <c r="N144" s="1" t="s">
        <v>31</v>
      </c>
      <c r="O144" s="1" t="s">
        <v>31</v>
      </c>
      <c r="P144" s="2">
        <f t="shared" si="4"/>
        <v>0</v>
      </c>
      <c r="Q144" s="2">
        <f t="shared" si="5"/>
        <v>0</v>
      </c>
    </row>
    <row r="145" spans="1:17" ht="12.5" x14ac:dyDescent="0.25">
      <c r="A145" s="1" t="s">
        <v>62</v>
      </c>
      <c r="B145" s="1" t="s">
        <v>16</v>
      </c>
      <c r="C145" s="1" t="s">
        <v>66</v>
      </c>
      <c r="D145" s="1" t="s">
        <v>18</v>
      </c>
      <c r="E145" s="1">
        <v>999.99</v>
      </c>
      <c r="F145" s="1">
        <v>126</v>
      </c>
      <c r="G145" s="1">
        <v>7505</v>
      </c>
      <c r="H145" s="1">
        <v>7.9364290000000004</v>
      </c>
      <c r="I145" s="1">
        <v>1.6788999999999998E-2</v>
      </c>
      <c r="J145" s="1">
        <v>133.24317099999999</v>
      </c>
      <c r="K145" s="1">
        <v>1</v>
      </c>
      <c r="L145" s="1">
        <v>8700</v>
      </c>
      <c r="M145" s="1" t="s">
        <v>31</v>
      </c>
      <c r="N145" s="1" t="s">
        <v>31</v>
      </c>
      <c r="O145" s="1" t="s">
        <v>31</v>
      </c>
      <c r="P145" s="2">
        <f t="shared" si="4"/>
        <v>1.1494252873563218E-4</v>
      </c>
      <c r="Q145" s="2">
        <f t="shared" si="5"/>
        <v>999.99</v>
      </c>
    </row>
    <row r="146" spans="1:17" ht="12.5" x14ac:dyDescent="0.25">
      <c r="A146" s="1" t="s">
        <v>63</v>
      </c>
      <c r="B146" s="1" t="s">
        <v>16</v>
      </c>
      <c r="C146" s="1" t="s">
        <v>66</v>
      </c>
      <c r="D146" s="1" t="s">
        <v>18</v>
      </c>
      <c r="E146" s="1">
        <v>999.83</v>
      </c>
      <c r="F146" s="1">
        <v>87</v>
      </c>
      <c r="G146" s="1">
        <v>5233</v>
      </c>
      <c r="H146" s="1">
        <v>11.492298999999999</v>
      </c>
      <c r="I146" s="1">
        <v>1.6625000000000001E-2</v>
      </c>
      <c r="J146" s="1">
        <v>191.062488</v>
      </c>
      <c r="K146" s="1">
        <v>0</v>
      </c>
      <c r="L146" s="1">
        <v>0</v>
      </c>
      <c r="M146" s="1" t="s">
        <v>31</v>
      </c>
      <c r="N146" s="1" t="s">
        <v>31</v>
      </c>
      <c r="O146" s="1" t="s">
        <v>31</v>
      </c>
      <c r="P146" s="2">
        <f t="shared" si="4"/>
        <v>0</v>
      </c>
      <c r="Q146" s="2">
        <f t="shared" si="5"/>
        <v>0</v>
      </c>
    </row>
    <row r="147" spans="1:17" ht="12.5" x14ac:dyDescent="0.25">
      <c r="A147" s="1" t="s">
        <v>64</v>
      </c>
      <c r="B147" s="1" t="s">
        <v>16</v>
      </c>
      <c r="C147" s="1" t="s">
        <v>66</v>
      </c>
      <c r="D147" s="1" t="s">
        <v>18</v>
      </c>
      <c r="E147" s="1">
        <v>999.1</v>
      </c>
      <c r="F147" s="1">
        <v>36</v>
      </c>
      <c r="G147" s="1">
        <v>1840</v>
      </c>
      <c r="H147" s="1">
        <v>27.752777999999999</v>
      </c>
      <c r="I147" s="1">
        <v>1.9564999999999999E-2</v>
      </c>
      <c r="J147" s="1">
        <v>542.98913000000005</v>
      </c>
      <c r="K147" s="1">
        <v>0</v>
      </c>
      <c r="L147" s="1">
        <v>0</v>
      </c>
      <c r="M147" s="1" t="s">
        <v>31</v>
      </c>
      <c r="N147" s="1" t="s">
        <v>31</v>
      </c>
      <c r="O147" s="1" t="s">
        <v>31</v>
      </c>
      <c r="P147" s="2">
        <f t="shared" si="4"/>
        <v>0</v>
      </c>
      <c r="Q147" s="2">
        <f t="shared" si="5"/>
        <v>0</v>
      </c>
    </row>
    <row r="148" spans="1:17" ht="12.5" x14ac:dyDescent="0.25">
      <c r="A148" s="3">
        <v>46028</v>
      </c>
      <c r="B148" s="1" t="s">
        <v>16</v>
      </c>
      <c r="C148" s="1" t="s">
        <v>40</v>
      </c>
      <c r="D148" s="1" t="s">
        <v>41</v>
      </c>
      <c r="E148" s="1">
        <v>328.60735899999997</v>
      </c>
      <c r="F148" s="1">
        <v>25</v>
      </c>
      <c r="G148" s="1">
        <v>117</v>
      </c>
      <c r="H148" s="1">
        <v>13.144294</v>
      </c>
      <c r="I148" s="1">
        <v>0.213675</v>
      </c>
      <c r="J148" s="1">
        <v>2808.6099060000001</v>
      </c>
      <c r="K148" s="1">
        <v>0.2</v>
      </c>
      <c r="L148" s="1">
        <v>1550.5914600000001</v>
      </c>
      <c r="M148" s="1" t="s">
        <v>31</v>
      </c>
      <c r="N148" s="1" t="s">
        <v>31</v>
      </c>
      <c r="O148" s="1" t="s">
        <v>31</v>
      </c>
      <c r="P148" s="2">
        <f t="shared" si="4"/>
        <v>1.2898303980082542E-4</v>
      </c>
      <c r="Q148" s="2">
        <f t="shared" si="5"/>
        <v>1643.0367949999998</v>
      </c>
    </row>
    <row r="149" spans="1:17" ht="12.5" x14ac:dyDescent="0.25">
      <c r="A149" s="3">
        <v>46059</v>
      </c>
      <c r="B149" s="1" t="s">
        <v>16</v>
      </c>
      <c r="C149" s="1" t="s">
        <v>40</v>
      </c>
      <c r="D149" s="1" t="s">
        <v>41</v>
      </c>
      <c r="E149" s="1">
        <v>581.473342</v>
      </c>
      <c r="F149" s="1">
        <v>44</v>
      </c>
      <c r="G149" s="1">
        <v>169</v>
      </c>
      <c r="H149" s="1">
        <v>13.215303</v>
      </c>
      <c r="I149" s="1">
        <v>0.260355</v>
      </c>
      <c r="J149" s="1">
        <v>3440.6706629999999</v>
      </c>
      <c r="K149" s="1">
        <v>0</v>
      </c>
      <c r="L149" s="1">
        <v>0</v>
      </c>
      <c r="M149" s="1" t="s">
        <v>31</v>
      </c>
      <c r="N149" s="1" t="s">
        <v>31</v>
      </c>
      <c r="O149" s="1" t="s">
        <v>31</v>
      </c>
      <c r="P149" s="2">
        <f t="shared" si="4"/>
        <v>0</v>
      </c>
      <c r="Q149" s="2">
        <f t="shared" si="5"/>
        <v>0</v>
      </c>
    </row>
    <row r="150" spans="1:17" ht="12.5" x14ac:dyDescent="0.25">
      <c r="A150" s="3">
        <v>46087</v>
      </c>
      <c r="B150" s="1" t="s">
        <v>16</v>
      </c>
      <c r="C150" s="1" t="s">
        <v>40</v>
      </c>
      <c r="D150" s="1" t="s">
        <v>41</v>
      </c>
      <c r="E150" s="1">
        <v>673.04668400000003</v>
      </c>
      <c r="F150" s="1">
        <v>63</v>
      </c>
      <c r="G150" s="1">
        <v>251</v>
      </c>
      <c r="H150" s="1">
        <v>10.683280999999999</v>
      </c>
      <c r="I150" s="1">
        <v>0.250996</v>
      </c>
      <c r="J150" s="1">
        <v>2681.4608920000001</v>
      </c>
      <c r="K150" s="1">
        <v>0</v>
      </c>
      <c r="L150" s="1">
        <v>0</v>
      </c>
      <c r="M150" s="1" t="s">
        <v>31</v>
      </c>
      <c r="N150" s="1" t="s">
        <v>31</v>
      </c>
      <c r="O150" s="1" t="s">
        <v>31</v>
      </c>
      <c r="P150" s="2">
        <f t="shared" si="4"/>
        <v>0</v>
      </c>
      <c r="Q150" s="2">
        <f t="shared" si="5"/>
        <v>0</v>
      </c>
    </row>
    <row r="151" spans="1:17" ht="12.5" x14ac:dyDescent="0.25">
      <c r="A151" s="3">
        <v>46118</v>
      </c>
      <c r="B151" s="1" t="s">
        <v>16</v>
      </c>
      <c r="C151" s="1" t="s">
        <v>40</v>
      </c>
      <c r="D151" s="1" t="s">
        <v>41</v>
      </c>
      <c r="E151" s="1">
        <v>447.02138100000002</v>
      </c>
      <c r="F151" s="1">
        <v>51</v>
      </c>
      <c r="G151" s="1">
        <v>161</v>
      </c>
      <c r="H151" s="1">
        <v>8.7651249999999994</v>
      </c>
      <c r="I151" s="1">
        <v>0.31677</v>
      </c>
      <c r="J151" s="1">
        <v>2776.5303170000002</v>
      </c>
      <c r="K151" s="1">
        <v>0</v>
      </c>
      <c r="L151" s="1">
        <v>0</v>
      </c>
      <c r="M151" s="1" t="s">
        <v>31</v>
      </c>
      <c r="N151" s="1" t="s">
        <v>31</v>
      </c>
      <c r="O151" s="1" t="s">
        <v>31</v>
      </c>
      <c r="P151" s="2">
        <f t="shared" si="4"/>
        <v>0</v>
      </c>
      <c r="Q151" s="2">
        <f t="shared" si="5"/>
        <v>0</v>
      </c>
    </row>
    <row r="152" spans="1:17" ht="12.5" x14ac:dyDescent="0.25">
      <c r="A152" s="3">
        <v>46148</v>
      </c>
      <c r="B152" s="1" t="s">
        <v>16</v>
      </c>
      <c r="C152" s="1" t="s">
        <v>40</v>
      </c>
      <c r="D152" s="1" t="s">
        <v>41</v>
      </c>
      <c r="E152" s="1">
        <v>865.29730199999995</v>
      </c>
      <c r="F152" s="1">
        <v>61</v>
      </c>
      <c r="G152" s="1">
        <v>147</v>
      </c>
      <c r="H152" s="1">
        <v>14.185202</v>
      </c>
      <c r="I152" s="1">
        <v>0.414966</v>
      </c>
      <c r="J152" s="1">
        <v>5886.3762040000001</v>
      </c>
      <c r="K152" s="1">
        <v>1</v>
      </c>
      <c r="L152" s="1">
        <v>13270</v>
      </c>
      <c r="M152" s="1" t="s">
        <v>31</v>
      </c>
      <c r="N152" s="1" t="s">
        <v>31</v>
      </c>
      <c r="O152" s="1" t="s">
        <v>31</v>
      </c>
      <c r="P152" s="2">
        <f t="shared" si="4"/>
        <v>7.5357950263752821E-5</v>
      </c>
      <c r="Q152" s="2">
        <f t="shared" si="5"/>
        <v>865.29730199999995</v>
      </c>
    </row>
    <row r="153" spans="1:17" ht="12.5" x14ac:dyDescent="0.25">
      <c r="A153" s="3">
        <v>46179</v>
      </c>
      <c r="B153" s="1" t="s">
        <v>16</v>
      </c>
      <c r="C153" s="1" t="s">
        <v>40</v>
      </c>
      <c r="D153" s="1" t="s">
        <v>41</v>
      </c>
      <c r="E153" s="1">
        <v>523.00070600000004</v>
      </c>
      <c r="F153" s="1">
        <v>67</v>
      </c>
      <c r="G153" s="1">
        <v>144</v>
      </c>
      <c r="H153" s="1">
        <v>7.8059810000000001</v>
      </c>
      <c r="I153" s="1">
        <v>0.46527800000000002</v>
      </c>
      <c r="J153" s="1">
        <v>3631.9493470000002</v>
      </c>
      <c r="K153" s="1">
        <v>1</v>
      </c>
      <c r="L153" s="1">
        <v>5610</v>
      </c>
      <c r="M153" s="1" t="s">
        <v>31</v>
      </c>
      <c r="N153" s="1" t="s">
        <v>31</v>
      </c>
      <c r="O153" s="1" t="s">
        <v>31</v>
      </c>
      <c r="P153" s="2">
        <f t="shared" si="4"/>
        <v>1.7825311942959001E-4</v>
      </c>
      <c r="Q153" s="2">
        <f t="shared" si="5"/>
        <v>523.00070600000004</v>
      </c>
    </row>
    <row r="154" spans="1:17" ht="12.5" x14ac:dyDescent="0.25">
      <c r="A154" s="3">
        <v>46209</v>
      </c>
      <c r="B154" s="1" t="s">
        <v>16</v>
      </c>
      <c r="C154" s="1" t="s">
        <v>40</v>
      </c>
      <c r="D154" s="1" t="s">
        <v>41</v>
      </c>
      <c r="E154" s="1">
        <v>805.75360799999999</v>
      </c>
      <c r="F154" s="1">
        <v>67</v>
      </c>
      <c r="G154" s="1">
        <v>143</v>
      </c>
      <c r="H154" s="1">
        <v>12.026173</v>
      </c>
      <c r="I154" s="1">
        <v>0.46853099999999998</v>
      </c>
      <c r="J154" s="1">
        <v>5634.6406150000003</v>
      </c>
      <c r="K154" s="1">
        <v>0.8</v>
      </c>
      <c r="L154" s="1">
        <v>6357.6909400000004</v>
      </c>
      <c r="M154" s="1" t="s">
        <v>31</v>
      </c>
      <c r="N154" s="1" t="s">
        <v>31</v>
      </c>
      <c r="O154" s="1" t="s">
        <v>31</v>
      </c>
      <c r="P154" s="2">
        <f t="shared" si="4"/>
        <v>1.2583184800109203E-4</v>
      </c>
      <c r="Q154" s="2">
        <f t="shared" si="5"/>
        <v>1007.19201</v>
      </c>
    </row>
    <row r="155" spans="1:17" ht="12.5" x14ac:dyDescent="0.25">
      <c r="A155" s="3">
        <v>46240</v>
      </c>
      <c r="B155" s="1" t="s">
        <v>16</v>
      </c>
      <c r="C155" s="1" t="s">
        <v>40</v>
      </c>
      <c r="D155" s="1" t="s">
        <v>41</v>
      </c>
      <c r="E155" s="1">
        <v>194.23746299999999</v>
      </c>
      <c r="F155" s="1">
        <v>44</v>
      </c>
      <c r="G155" s="1">
        <v>196</v>
      </c>
      <c r="H155" s="1">
        <v>4.4144880000000004</v>
      </c>
      <c r="I155" s="1">
        <v>0.22449</v>
      </c>
      <c r="J155" s="1">
        <v>991.00746400000003</v>
      </c>
      <c r="K155" s="1">
        <v>0</v>
      </c>
      <c r="L155" s="1">
        <v>0</v>
      </c>
      <c r="M155" s="1" t="s">
        <v>31</v>
      </c>
      <c r="N155" s="1" t="s">
        <v>31</v>
      </c>
      <c r="O155" s="1" t="s">
        <v>31</v>
      </c>
      <c r="P155" s="2">
        <f t="shared" si="4"/>
        <v>0</v>
      </c>
      <c r="Q155" s="2">
        <f t="shared" si="5"/>
        <v>0</v>
      </c>
    </row>
    <row r="156" spans="1:17" ht="12.5" x14ac:dyDescent="0.25">
      <c r="A156" s="3">
        <v>46271</v>
      </c>
      <c r="B156" s="1" t="s">
        <v>16</v>
      </c>
      <c r="C156" s="1" t="s">
        <v>40</v>
      </c>
      <c r="D156" s="1" t="s">
        <v>41</v>
      </c>
      <c r="E156" s="1">
        <v>1234.0446400000001</v>
      </c>
      <c r="F156" s="1">
        <v>90</v>
      </c>
      <c r="G156" s="1">
        <v>392</v>
      </c>
      <c r="H156" s="1">
        <v>13.711607000000001</v>
      </c>
      <c r="I156" s="1">
        <v>0.22959199999999999</v>
      </c>
      <c r="J156" s="1">
        <v>3148.0730610000001</v>
      </c>
      <c r="K156" s="1">
        <v>0</v>
      </c>
      <c r="L156" s="1">
        <v>0</v>
      </c>
      <c r="M156" s="1" t="s">
        <v>31</v>
      </c>
      <c r="N156" s="1" t="s">
        <v>31</v>
      </c>
      <c r="O156" s="1" t="s">
        <v>31</v>
      </c>
      <c r="P156" s="2">
        <f t="shared" si="4"/>
        <v>0</v>
      </c>
      <c r="Q156" s="2">
        <f t="shared" si="5"/>
        <v>0</v>
      </c>
    </row>
    <row r="157" spans="1:17" ht="12.5" x14ac:dyDescent="0.25">
      <c r="A157" s="3">
        <v>46301</v>
      </c>
      <c r="B157" s="1" t="s">
        <v>16</v>
      </c>
      <c r="C157" s="1" t="s">
        <v>40</v>
      </c>
      <c r="D157" s="1" t="s">
        <v>41</v>
      </c>
      <c r="E157" s="1">
        <v>1030.940096</v>
      </c>
      <c r="F157" s="1">
        <v>45</v>
      </c>
      <c r="G157" s="1">
        <v>264</v>
      </c>
      <c r="H157" s="1">
        <v>22.909780000000001</v>
      </c>
      <c r="I157" s="1">
        <v>0.170455</v>
      </c>
      <c r="J157" s="1">
        <v>3905.0761210000001</v>
      </c>
      <c r="K157" s="1">
        <v>0</v>
      </c>
      <c r="L157" s="1">
        <v>0</v>
      </c>
      <c r="M157" s="1" t="s">
        <v>31</v>
      </c>
      <c r="N157" s="1" t="s">
        <v>31</v>
      </c>
      <c r="O157" s="1" t="s">
        <v>31</v>
      </c>
      <c r="P157" s="2">
        <f t="shared" si="4"/>
        <v>0</v>
      </c>
      <c r="Q157" s="2">
        <f t="shared" si="5"/>
        <v>0</v>
      </c>
    </row>
    <row r="158" spans="1:17" ht="12.5" x14ac:dyDescent="0.25">
      <c r="A158" s="3">
        <v>46332</v>
      </c>
      <c r="B158" s="1" t="s">
        <v>16</v>
      </c>
      <c r="C158" s="1" t="s">
        <v>40</v>
      </c>
      <c r="D158" s="1" t="s">
        <v>41</v>
      </c>
      <c r="E158" s="1">
        <v>189.33842799999999</v>
      </c>
      <c r="F158" s="1">
        <v>53</v>
      </c>
      <c r="G158" s="1">
        <v>125</v>
      </c>
      <c r="H158" s="1">
        <v>3.5724230000000001</v>
      </c>
      <c r="I158" s="1">
        <v>0.42399999999999999</v>
      </c>
      <c r="J158" s="1">
        <v>1514.7074239999999</v>
      </c>
      <c r="K158" s="1">
        <v>0</v>
      </c>
      <c r="L158" s="1">
        <v>0</v>
      </c>
      <c r="M158" s="1" t="s">
        <v>31</v>
      </c>
      <c r="N158" s="1" t="s">
        <v>31</v>
      </c>
      <c r="O158" s="1" t="s">
        <v>31</v>
      </c>
      <c r="P158" s="2">
        <f t="shared" si="4"/>
        <v>0</v>
      </c>
      <c r="Q158" s="2">
        <f t="shared" si="5"/>
        <v>0</v>
      </c>
    </row>
    <row r="159" spans="1:17" ht="12.5" x14ac:dyDescent="0.25">
      <c r="A159" s="3">
        <v>46362</v>
      </c>
      <c r="B159" s="1" t="s">
        <v>16</v>
      </c>
      <c r="C159" s="1" t="s">
        <v>40</v>
      </c>
      <c r="D159" s="1" t="s">
        <v>41</v>
      </c>
      <c r="E159" s="1">
        <v>607.93497300000001</v>
      </c>
      <c r="F159" s="1">
        <v>62</v>
      </c>
      <c r="G159" s="1">
        <v>146</v>
      </c>
      <c r="H159" s="1">
        <v>9.8054030000000001</v>
      </c>
      <c r="I159" s="1">
        <v>0.42465799999999998</v>
      </c>
      <c r="J159" s="1">
        <v>4163.9381709999998</v>
      </c>
      <c r="K159" s="1">
        <v>0</v>
      </c>
      <c r="L159" s="1">
        <v>0</v>
      </c>
      <c r="M159" s="1" t="s">
        <v>31</v>
      </c>
      <c r="N159" s="1" t="s">
        <v>31</v>
      </c>
      <c r="O159" s="1" t="s">
        <v>31</v>
      </c>
      <c r="P159" s="2">
        <f t="shared" si="4"/>
        <v>0</v>
      </c>
      <c r="Q159" s="2">
        <f t="shared" si="5"/>
        <v>0</v>
      </c>
    </row>
    <row r="160" spans="1:17" ht="12.5" x14ac:dyDescent="0.25">
      <c r="A160" s="1" t="s">
        <v>57</v>
      </c>
      <c r="B160" s="1" t="s">
        <v>16</v>
      </c>
      <c r="C160" s="1" t="s">
        <v>40</v>
      </c>
      <c r="D160" s="1" t="s">
        <v>41</v>
      </c>
      <c r="E160" s="1">
        <v>163.264253</v>
      </c>
      <c r="F160" s="1">
        <v>49</v>
      </c>
      <c r="G160" s="1">
        <v>119</v>
      </c>
      <c r="H160" s="1">
        <v>3.3319239999999999</v>
      </c>
      <c r="I160" s="1">
        <v>0.41176499999999999</v>
      </c>
      <c r="J160" s="1">
        <v>1371.968513</v>
      </c>
      <c r="K160" s="1">
        <v>1</v>
      </c>
      <c r="L160" s="1">
        <v>8731.84</v>
      </c>
      <c r="M160" s="1" t="s">
        <v>31</v>
      </c>
      <c r="N160" s="1" t="s">
        <v>31</v>
      </c>
      <c r="O160" s="1" t="s">
        <v>31</v>
      </c>
      <c r="P160" s="2">
        <f t="shared" si="4"/>
        <v>1.1452339942096969E-4</v>
      </c>
      <c r="Q160" s="2">
        <f t="shared" si="5"/>
        <v>163.264253</v>
      </c>
    </row>
    <row r="161" spans="1:17" ht="12.5" x14ac:dyDescent="0.25">
      <c r="A161" s="1" t="s">
        <v>58</v>
      </c>
      <c r="B161" s="1" t="s">
        <v>16</v>
      </c>
      <c r="C161" s="1" t="s">
        <v>40</v>
      </c>
      <c r="D161" s="1" t="s">
        <v>41</v>
      </c>
      <c r="E161" s="1">
        <v>201.48471799999999</v>
      </c>
      <c r="F161" s="1">
        <v>52</v>
      </c>
      <c r="G161" s="1">
        <v>109</v>
      </c>
      <c r="H161" s="1">
        <v>3.8747060000000002</v>
      </c>
      <c r="I161" s="1">
        <v>0.47706399999999999</v>
      </c>
      <c r="J161" s="1">
        <v>1848.483651</v>
      </c>
      <c r="K161" s="1">
        <v>1</v>
      </c>
      <c r="L161" s="1">
        <v>16570</v>
      </c>
      <c r="M161" s="1" t="s">
        <v>31</v>
      </c>
      <c r="N161" s="1" t="s">
        <v>31</v>
      </c>
      <c r="O161" s="1" t="s">
        <v>31</v>
      </c>
      <c r="P161" s="2">
        <f t="shared" si="4"/>
        <v>6.0350030175015085E-5</v>
      </c>
      <c r="Q161" s="2">
        <f t="shared" si="5"/>
        <v>201.48471799999999</v>
      </c>
    </row>
    <row r="162" spans="1:17" ht="12.5" x14ac:dyDescent="0.25">
      <c r="A162" s="1" t="s">
        <v>59</v>
      </c>
      <c r="B162" s="1" t="s">
        <v>16</v>
      </c>
      <c r="C162" s="1" t="s">
        <v>40</v>
      </c>
      <c r="D162" s="1" t="s">
        <v>41</v>
      </c>
      <c r="E162" s="1">
        <v>562.42779900000005</v>
      </c>
      <c r="F162" s="1">
        <v>61</v>
      </c>
      <c r="G162" s="1">
        <v>125</v>
      </c>
      <c r="H162" s="1">
        <v>9.2201280000000008</v>
      </c>
      <c r="I162" s="1">
        <v>0.48799999999999999</v>
      </c>
      <c r="J162" s="1">
        <v>4499.4223920000004</v>
      </c>
      <c r="K162" s="1">
        <v>1</v>
      </c>
      <c r="L162" s="1">
        <v>55440</v>
      </c>
      <c r="M162" s="1" t="s">
        <v>31</v>
      </c>
      <c r="N162" s="1" t="s">
        <v>31</v>
      </c>
      <c r="O162" s="1" t="s">
        <v>31</v>
      </c>
      <c r="P162" s="2">
        <f t="shared" si="4"/>
        <v>1.8037518037518038E-5</v>
      </c>
      <c r="Q162" s="2">
        <f t="shared" si="5"/>
        <v>562.42779900000005</v>
      </c>
    </row>
    <row r="163" spans="1:17" ht="12.5" x14ac:dyDescent="0.25">
      <c r="A163" s="1" t="s">
        <v>60</v>
      </c>
      <c r="B163" s="1" t="s">
        <v>16</v>
      </c>
      <c r="C163" s="1" t="s">
        <v>40</v>
      </c>
      <c r="D163" s="1" t="s">
        <v>41</v>
      </c>
      <c r="E163" s="1">
        <v>663.00846300000001</v>
      </c>
      <c r="F163" s="1">
        <v>84</v>
      </c>
      <c r="G163" s="1">
        <v>143</v>
      </c>
      <c r="H163" s="1">
        <v>7.8929580000000001</v>
      </c>
      <c r="I163" s="1">
        <v>0.58741299999999996</v>
      </c>
      <c r="J163" s="1">
        <v>4636.422818</v>
      </c>
      <c r="K163" s="1">
        <v>0</v>
      </c>
      <c r="L163" s="1">
        <v>0</v>
      </c>
      <c r="M163" s="1" t="s">
        <v>31</v>
      </c>
      <c r="N163" s="1" t="s">
        <v>31</v>
      </c>
      <c r="O163" s="1" t="s">
        <v>31</v>
      </c>
      <c r="P163" s="2">
        <f t="shared" si="4"/>
        <v>0</v>
      </c>
      <c r="Q163" s="2">
        <f t="shared" si="5"/>
        <v>0</v>
      </c>
    </row>
    <row r="164" spans="1:17" ht="12.5" x14ac:dyDescent="0.25">
      <c r="A164" s="1" t="s">
        <v>61</v>
      </c>
      <c r="B164" s="1" t="s">
        <v>16</v>
      </c>
      <c r="C164" s="1" t="s">
        <v>40</v>
      </c>
      <c r="D164" s="1" t="s">
        <v>41</v>
      </c>
      <c r="E164" s="1">
        <v>616.92819799999995</v>
      </c>
      <c r="F164" s="1">
        <v>90</v>
      </c>
      <c r="G164" s="1">
        <v>194</v>
      </c>
      <c r="H164" s="1">
        <v>6.8547580000000004</v>
      </c>
      <c r="I164" s="1">
        <v>0.463918</v>
      </c>
      <c r="J164" s="1">
        <v>3180.0422579999999</v>
      </c>
      <c r="K164" s="1">
        <v>1</v>
      </c>
      <c r="L164" s="1">
        <v>9700</v>
      </c>
      <c r="M164" s="1" t="s">
        <v>31</v>
      </c>
      <c r="N164" s="1" t="s">
        <v>31</v>
      </c>
      <c r="O164" s="1" t="s">
        <v>31</v>
      </c>
      <c r="P164" s="2">
        <f t="shared" si="4"/>
        <v>1.0309278350515464E-4</v>
      </c>
      <c r="Q164" s="2">
        <f t="shared" si="5"/>
        <v>616.92819799999995</v>
      </c>
    </row>
    <row r="165" spans="1:17" ht="12.5" x14ac:dyDescent="0.25">
      <c r="A165" s="1" t="s">
        <v>62</v>
      </c>
      <c r="B165" s="1" t="s">
        <v>16</v>
      </c>
      <c r="C165" s="1" t="s">
        <v>40</v>
      </c>
      <c r="D165" s="1" t="s">
        <v>41</v>
      </c>
      <c r="E165" s="1">
        <v>331.87531899999999</v>
      </c>
      <c r="F165" s="1">
        <v>69</v>
      </c>
      <c r="G165" s="1">
        <v>179</v>
      </c>
      <c r="H165" s="1">
        <v>4.809787</v>
      </c>
      <c r="I165" s="1">
        <v>0.38547500000000001</v>
      </c>
      <c r="J165" s="1">
        <v>1854.0520610000001</v>
      </c>
      <c r="K165" s="1">
        <v>0</v>
      </c>
      <c r="L165" s="1">
        <v>0</v>
      </c>
      <c r="M165" s="1" t="s">
        <v>31</v>
      </c>
      <c r="N165" s="1" t="s">
        <v>31</v>
      </c>
      <c r="O165" s="1" t="s">
        <v>31</v>
      </c>
      <c r="P165" s="2">
        <f t="shared" si="4"/>
        <v>0</v>
      </c>
      <c r="Q165" s="2">
        <f t="shared" si="5"/>
        <v>0</v>
      </c>
    </row>
    <row r="166" spans="1:17" ht="12.5" x14ac:dyDescent="0.25">
      <c r="A166" s="1" t="s">
        <v>63</v>
      </c>
      <c r="B166" s="1" t="s">
        <v>16</v>
      </c>
      <c r="C166" s="1" t="s">
        <v>40</v>
      </c>
      <c r="D166" s="1" t="s">
        <v>41</v>
      </c>
      <c r="E166" s="1">
        <v>317.43264099999999</v>
      </c>
      <c r="F166" s="1">
        <v>69</v>
      </c>
      <c r="G166" s="1">
        <v>196</v>
      </c>
      <c r="H166" s="1">
        <v>4.600473</v>
      </c>
      <c r="I166" s="1">
        <v>0.35204099999999999</v>
      </c>
      <c r="J166" s="1">
        <v>1619.5542909999999</v>
      </c>
      <c r="K166" s="1">
        <v>0.4</v>
      </c>
      <c r="L166" s="1">
        <v>1320.2286899999999</v>
      </c>
      <c r="M166" s="1" t="s">
        <v>31</v>
      </c>
      <c r="N166" s="1" t="s">
        <v>31</v>
      </c>
      <c r="O166" s="1" t="s">
        <v>31</v>
      </c>
      <c r="P166" s="2">
        <f t="shared" si="4"/>
        <v>3.0297781212435253E-4</v>
      </c>
      <c r="Q166" s="2">
        <f t="shared" si="5"/>
        <v>793.58160249999992</v>
      </c>
    </row>
    <row r="167" spans="1:17" ht="12.5" x14ac:dyDescent="0.25">
      <c r="A167" s="1" t="s">
        <v>64</v>
      </c>
      <c r="B167" s="1" t="s">
        <v>16</v>
      </c>
      <c r="C167" s="1" t="s">
        <v>40</v>
      </c>
      <c r="D167" s="1" t="s">
        <v>41</v>
      </c>
      <c r="E167" s="1">
        <v>590.37273000000005</v>
      </c>
      <c r="F167" s="1">
        <v>76</v>
      </c>
      <c r="G167" s="1">
        <v>184</v>
      </c>
      <c r="H167" s="1">
        <v>7.7680619999999996</v>
      </c>
      <c r="I167" s="1">
        <v>0.41304299999999999</v>
      </c>
      <c r="J167" s="1">
        <v>3208.547446</v>
      </c>
      <c r="K167" s="1">
        <v>0</v>
      </c>
      <c r="L167" s="1">
        <v>0</v>
      </c>
      <c r="M167" s="1" t="s">
        <v>31</v>
      </c>
      <c r="N167" s="1" t="s">
        <v>31</v>
      </c>
      <c r="O167" s="1" t="s">
        <v>31</v>
      </c>
      <c r="P167" s="2">
        <f t="shared" si="4"/>
        <v>0</v>
      </c>
      <c r="Q167" s="2">
        <f t="shared" si="5"/>
        <v>0</v>
      </c>
    </row>
    <row r="168" spans="1:17" ht="12.5" x14ac:dyDescent="0.25">
      <c r="A168" s="1" t="s">
        <v>45</v>
      </c>
      <c r="B168" s="1" t="s">
        <v>16</v>
      </c>
      <c r="C168" s="1" t="s">
        <v>40</v>
      </c>
      <c r="D168" s="1" t="s">
        <v>41</v>
      </c>
      <c r="E168" s="1">
        <v>314.67282499999999</v>
      </c>
      <c r="F168" s="1">
        <v>81</v>
      </c>
      <c r="G168" s="1">
        <v>163</v>
      </c>
      <c r="H168" s="1">
        <v>3.8848500000000001</v>
      </c>
      <c r="I168" s="1">
        <v>0.49693300000000001</v>
      </c>
      <c r="J168" s="1">
        <v>1930.5081290000001</v>
      </c>
      <c r="K168" s="1">
        <v>0</v>
      </c>
      <c r="L168" s="1">
        <v>0</v>
      </c>
      <c r="M168" s="1" t="s">
        <v>31</v>
      </c>
      <c r="N168" s="1" t="s">
        <v>31</v>
      </c>
      <c r="O168" s="1" t="s">
        <v>31</v>
      </c>
      <c r="P168" s="2">
        <f t="shared" si="4"/>
        <v>0</v>
      </c>
      <c r="Q168" s="2">
        <f t="shared" si="5"/>
        <v>0</v>
      </c>
    </row>
    <row r="169" spans="1:17" ht="12.5" x14ac:dyDescent="0.25">
      <c r="A169" s="1" t="s">
        <v>48</v>
      </c>
      <c r="B169" s="1" t="s">
        <v>16</v>
      </c>
      <c r="C169" s="1" t="s">
        <v>40</v>
      </c>
      <c r="D169" s="1" t="s">
        <v>41</v>
      </c>
      <c r="E169" s="1">
        <v>938.34087499999998</v>
      </c>
      <c r="F169" s="1">
        <v>97</v>
      </c>
      <c r="G169" s="1">
        <v>185</v>
      </c>
      <c r="H169" s="1">
        <v>9.6736170000000001</v>
      </c>
      <c r="I169" s="1">
        <v>0.52432400000000001</v>
      </c>
      <c r="J169" s="1">
        <v>5072.112838</v>
      </c>
      <c r="K169" s="1">
        <v>1</v>
      </c>
      <c r="L169" s="1">
        <v>2200</v>
      </c>
      <c r="M169" s="1" t="s">
        <v>31</v>
      </c>
      <c r="N169" s="1" t="s">
        <v>31</v>
      </c>
      <c r="O169" s="1" t="s">
        <v>31</v>
      </c>
      <c r="P169" s="2">
        <f t="shared" si="4"/>
        <v>4.5454545454545455E-4</v>
      </c>
      <c r="Q169" s="2">
        <f t="shared" si="5"/>
        <v>938.34087499999998</v>
      </c>
    </row>
    <row r="170" spans="1:17" ht="12.5" x14ac:dyDescent="0.25">
      <c r="A170" s="1" t="s">
        <v>49</v>
      </c>
      <c r="B170" s="1" t="s">
        <v>16</v>
      </c>
      <c r="C170" s="1" t="s">
        <v>40</v>
      </c>
      <c r="D170" s="1" t="s">
        <v>41</v>
      </c>
      <c r="E170" s="1">
        <v>717.01752799999997</v>
      </c>
      <c r="F170" s="1">
        <v>88</v>
      </c>
      <c r="G170" s="1">
        <v>154</v>
      </c>
      <c r="H170" s="1">
        <v>8.147926</v>
      </c>
      <c r="I170" s="1">
        <v>0.57142899999999996</v>
      </c>
      <c r="J170" s="1">
        <v>4655.9579739999999</v>
      </c>
      <c r="K170" s="1">
        <v>1</v>
      </c>
      <c r="L170" s="1">
        <v>3400</v>
      </c>
      <c r="M170" s="1" t="s">
        <v>31</v>
      </c>
      <c r="N170" s="1" t="s">
        <v>31</v>
      </c>
      <c r="O170" s="1" t="s">
        <v>31</v>
      </c>
      <c r="P170" s="2">
        <f t="shared" si="4"/>
        <v>2.941176470588235E-4</v>
      </c>
      <c r="Q170" s="2">
        <f t="shared" si="5"/>
        <v>717.01752799999997</v>
      </c>
    </row>
    <row r="171" spans="1:17" ht="12.5" x14ac:dyDescent="0.25">
      <c r="A171" s="1" t="s">
        <v>50</v>
      </c>
      <c r="B171" s="1" t="s">
        <v>16</v>
      </c>
      <c r="C171" s="1" t="s">
        <v>40</v>
      </c>
      <c r="D171" s="1" t="s">
        <v>41</v>
      </c>
      <c r="E171" s="1">
        <v>452.41958399999999</v>
      </c>
      <c r="F171" s="1">
        <v>75</v>
      </c>
      <c r="G171" s="1">
        <v>141</v>
      </c>
      <c r="H171" s="1">
        <v>6.0322610000000001</v>
      </c>
      <c r="I171" s="1">
        <v>0.53191500000000003</v>
      </c>
      <c r="J171" s="1">
        <v>3208.6495319999999</v>
      </c>
      <c r="K171" s="1">
        <v>1</v>
      </c>
      <c r="L171" s="1">
        <v>15250</v>
      </c>
      <c r="M171" s="1" t="s">
        <v>31</v>
      </c>
      <c r="N171" s="1" t="s">
        <v>31</v>
      </c>
      <c r="O171" s="1" t="s">
        <v>31</v>
      </c>
      <c r="P171" s="2">
        <f t="shared" si="4"/>
        <v>6.5573770491803284E-5</v>
      </c>
      <c r="Q171" s="2">
        <f t="shared" si="5"/>
        <v>452.41958399999999</v>
      </c>
    </row>
    <row r="172" spans="1:17" ht="12.5" x14ac:dyDescent="0.25">
      <c r="A172" s="1" t="s">
        <v>51</v>
      </c>
      <c r="B172" s="1" t="s">
        <v>16</v>
      </c>
      <c r="C172" s="1" t="s">
        <v>40</v>
      </c>
      <c r="D172" s="1" t="s">
        <v>41</v>
      </c>
      <c r="E172" s="1">
        <v>283.043159</v>
      </c>
      <c r="F172" s="1">
        <v>32</v>
      </c>
      <c r="G172" s="1">
        <v>52</v>
      </c>
      <c r="H172" s="1">
        <v>8.8450989999999994</v>
      </c>
      <c r="I172" s="1">
        <v>0.61538499999999996</v>
      </c>
      <c r="J172" s="1">
        <v>5443.1376730000002</v>
      </c>
      <c r="K172" s="1">
        <v>0</v>
      </c>
      <c r="L172" s="1">
        <v>0</v>
      </c>
      <c r="M172" s="1" t="s">
        <v>31</v>
      </c>
      <c r="N172" s="1" t="s">
        <v>31</v>
      </c>
      <c r="O172" s="1" t="s">
        <v>31</v>
      </c>
      <c r="P172" s="2">
        <f t="shared" si="4"/>
        <v>0</v>
      </c>
      <c r="Q172" s="2">
        <f t="shared" si="5"/>
        <v>0</v>
      </c>
    </row>
    <row r="173" spans="1:17" ht="12.5" x14ac:dyDescent="0.25">
      <c r="A173" s="1" t="s">
        <v>65</v>
      </c>
      <c r="B173" s="1" t="s">
        <v>16</v>
      </c>
      <c r="C173" s="1" t="s">
        <v>40</v>
      </c>
      <c r="D173" s="1" t="s">
        <v>41</v>
      </c>
      <c r="E173" s="1">
        <v>472.168995</v>
      </c>
      <c r="F173" s="1">
        <v>88</v>
      </c>
      <c r="G173" s="1">
        <v>156</v>
      </c>
      <c r="H173" s="1">
        <v>5.3655569999999999</v>
      </c>
      <c r="I173" s="1">
        <v>0.56410300000000002</v>
      </c>
      <c r="J173" s="1">
        <v>3026.7243269999999</v>
      </c>
      <c r="K173" s="1">
        <v>0</v>
      </c>
      <c r="L173" s="1">
        <v>0</v>
      </c>
      <c r="M173" s="1" t="s">
        <v>31</v>
      </c>
      <c r="N173" s="1" t="s">
        <v>31</v>
      </c>
      <c r="O173" s="1" t="s">
        <v>31</v>
      </c>
      <c r="P173" s="2">
        <f t="shared" si="4"/>
        <v>0</v>
      </c>
      <c r="Q173" s="2">
        <f t="shared" si="5"/>
        <v>0</v>
      </c>
    </row>
    <row r="174" spans="1:17" ht="12.5" x14ac:dyDescent="0.25">
      <c r="A174" s="1" t="s">
        <v>52</v>
      </c>
      <c r="B174" s="1" t="s">
        <v>16</v>
      </c>
      <c r="C174" s="1" t="s">
        <v>40</v>
      </c>
      <c r="D174" s="1" t="s">
        <v>41</v>
      </c>
      <c r="E174" s="1">
        <v>797.44604100000004</v>
      </c>
      <c r="F174" s="1">
        <v>111</v>
      </c>
      <c r="G174" s="1">
        <v>172</v>
      </c>
      <c r="H174" s="1">
        <v>7.1841989999999996</v>
      </c>
      <c r="I174" s="1">
        <v>0.64534899999999995</v>
      </c>
      <c r="J174" s="1">
        <v>4636.3141919999998</v>
      </c>
      <c r="K174" s="1">
        <v>2</v>
      </c>
      <c r="L174" s="1">
        <v>24797.95</v>
      </c>
      <c r="M174" s="1" t="s">
        <v>31</v>
      </c>
      <c r="N174" s="1" t="s">
        <v>31</v>
      </c>
      <c r="O174" s="1" t="s">
        <v>31</v>
      </c>
      <c r="P174" s="2">
        <f t="shared" si="4"/>
        <v>8.0651828074498088E-5</v>
      </c>
      <c r="Q174" s="2">
        <f t="shared" si="5"/>
        <v>398.72302050000002</v>
      </c>
    </row>
    <row r="175" spans="1:17" ht="12.5" x14ac:dyDescent="0.25">
      <c r="A175" s="1" t="s">
        <v>53</v>
      </c>
      <c r="B175" s="1" t="s">
        <v>16</v>
      </c>
      <c r="C175" s="1" t="s">
        <v>40</v>
      </c>
      <c r="D175" s="1" t="s">
        <v>41</v>
      </c>
      <c r="E175" s="1">
        <v>528.63081799999998</v>
      </c>
      <c r="F175" s="1">
        <v>81</v>
      </c>
      <c r="G175" s="1">
        <v>159</v>
      </c>
      <c r="H175" s="1">
        <v>6.5263059999999999</v>
      </c>
      <c r="I175" s="1">
        <v>0.50943400000000005</v>
      </c>
      <c r="J175" s="1">
        <v>3324.7221260000001</v>
      </c>
      <c r="K175" s="1">
        <v>1</v>
      </c>
      <c r="L175" s="1">
        <v>27790</v>
      </c>
      <c r="M175" s="1" t="s">
        <v>31</v>
      </c>
      <c r="N175" s="1" t="s">
        <v>31</v>
      </c>
      <c r="O175" s="1" t="s">
        <v>31</v>
      </c>
      <c r="P175" s="2">
        <f t="shared" si="4"/>
        <v>3.5984166966534728E-5</v>
      </c>
      <c r="Q175" s="2">
        <f t="shared" si="5"/>
        <v>528.63081799999998</v>
      </c>
    </row>
    <row r="176" spans="1:17" ht="12.5" x14ac:dyDescent="0.25">
      <c r="A176" s="1" t="s">
        <v>54</v>
      </c>
      <c r="B176" s="1" t="s">
        <v>16</v>
      </c>
      <c r="C176" s="1" t="s">
        <v>40</v>
      </c>
      <c r="D176" s="1" t="s">
        <v>41</v>
      </c>
      <c r="E176" s="1">
        <v>434.209475</v>
      </c>
      <c r="F176" s="1">
        <v>95</v>
      </c>
      <c r="G176" s="1">
        <v>161</v>
      </c>
      <c r="H176" s="1">
        <v>4.5706259999999999</v>
      </c>
      <c r="I176" s="1">
        <v>0.59006199999999998</v>
      </c>
      <c r="J176" s="1">
        <v>2696.9532610000001</v>
      </c>
      <c r="K176" s="1">
        <v>1</v>
      </c>
      <c r="L176" s="1">
        <v>64090</v>
      </c>
      <c r="M176" s="1" t="s">
        <v>31</v>
      </c>
      <c r="N176" s="1" t="s">
        <v>31</v>
      </c>
      <c r="O176" s="1" t="s">
        <v>31</v>
      </c>
      <c r="P176" s="2">
        <f t="shared" si="4"/>
        <v>1.5603058199407085E-5</v>
      </c>
      <c r="Q176" s="2">
        <f t="shared" si="5"/>
        <v>434.209475</v>
      </c>
    </row>
    <row r="177" spans="1:17" ht="12.5" x14ac:dyDescent="0.25">
      <c r="A177" s="1" t="s">
        <v>55</v>
      </c>
      <c r="B177" s="1" t="s">
        <v>16</v>
      </c>
      <c r="C177" s="1" t="s">
        <v>40</v>
      </c>
      <c r="D177" s="1" t="s">
        <v>41</v>
      </c>
      <c r="E177" s="1">
        <v>498.399497</v>
      </c>
      <c r="F177" s="1">
        <v>75</v>
      </c>
      <c r="G177" s="1">
        <v>161</v>
      </c>
      <c r="H177" s="1">
        <v>6.645327</v>
      </c>
      <c r="I177" s="1">
        <v>0.465839</v>
      </c>
      <c r="J177" s="1">
        <v>3095.64905</v>
      </c>
      <c r="K177" s="1">
        <v>1</v>
      </c>
      <c r="L177" s="1">
        <v>21190.03052</v>
      </c>
      <c r="M177" s="1" t="s">
        <v>31</v>
      </c>
      <c r="N177" s="1" t="s">
        <v>31</v>
      </c>
      <c r="O177" s="1" t="s">
        <v>31</v>
      </c>
      <c r="P177" s="2">
        <f t="shared" si="4"/>
        <v>4.7192003761210247E-5</v>
      </c>
      <c r="Q177" s="2">
        <f t="shared" si="5"/>
        <v>498.399497</v>
      </c>
    </row>
    <row r="178" spans="1:17" ht="12.5" x14ac:dyDescent="0.25">
      <c r="A178" s="3">
        <v>46028</v>
      </c>
      <c r="B178" s="1" t="s">
        <v>16</v>
      </c>
      <c r="C178" s="1" t="s">
        <v>67</v>
      </c>
      <c r="D178" s="1" t="s">
        <v>41</v>
      </c>
      <c r="E178" s="1">
        <v>1040.059</v>
      </c>
      <c r="F178" s="1">
        <v>103</v>
      </c>
      <c r="G178" s="1">
        <v>6239</v>
      </c>
      <c r="H178" s="1">
        <v>10.097659999999999</v>
      </c>
      <c r="I178" s="1">
        <v>1.6508999999999999E-2</v>
      </c>
      <c r="J178" s="1">
        <v>166.70283699999999</v>
      </c>
      <c r="K178" s="1">
        <v>0</v>
      </c>
      <c r="L178" s="1">
        <v>0</v>
      </c>
      <c r="M178" s="1" t="s">
        <v>31</v>
      </c>
      <c r="N178" s="1" t="s">
        <v>31</v>
      </c>
      <c r="O178" s="1" t="s">
        <v>31</v>
      </c>
      <c r="P178" s="2">
        <f t="shared" si="4"/>
        <v>0</v>
      </c>
      <c r="Q178" s="2">
        <f t="shared" si="5"/>
        <v>0</v>
      </c>
    </row>
    <row r="179" spans="1:17" ht="12.5" x14ac:dyDescent="0.25">
      <c r="A179" s="3">
        <v>46059</v>
      </c>
      <c r="B179" s="1" t="s">
        <v>16</v>
      </c>
      <c r="C179" s="1" t="s">
        <v>67</v>
      </c>
      <c r="D179" s="1" t="s">
        <v>41</v>
      </c>
      <c r="E179" s="1">
        <v>2328.9568060000001</v>
      </c>
      <c r="F179" s="1">
        <v>137</v>
      </c>
      <c r="G179" s="1">
        <v>12220</v>
      </c>
      <c r="H179" s="1">
        <v>16.999684999999999</v>
      </c>
      <c r="I179" s="1">
        <v>1.1211E-2</v>
      </c>
      <c r="J179" s="1">
        <v>190.58566300000001</v>
      </c>
      <c r="K179" s="1">
        <v>0</v>
      </c>
      <c r="L179" s="1">
        <v>0</v>
      </c>
      <c r="M179" s="1" t="s">
        <v>31</v>
      </c>
      <c r="N179" s="1" t="s">
        <v>31</v>
      </c>
      <c r="O179" s="1" t="s">
        <v>31</v>
      </c>
      <c r="P179" s="2">
        <f t="shared" si="4"/>
        <v>0</v>
      </c>
      <c r="Q179" s="2">
        <f t="shared" si="5"/>
        <v>0</v>
      </c>
    </row>
    <row r="180" spans="1:17" ht="12.5" x14ac:dyDescent="0.25">
      <c r="A180" s="3">
        <v>46087</v>
      </c>
      <c r="B180" s="1" t="s">
        <v>16</v>
      </c>
      <c r="C180" s="1" t="s">
        <v>67</v>
      </c>
      <c r="D180" s="1" t="s">
        <v>41</v>
      </c>
      <c r="E180" s="1">
        <v>1005.137646</v>
      </c>
      <c r="F180" s="1">
        <v>97</v>
      </c>
      <c r="G180" s="1">
        <v>8911</v>
      </c>
      <c r="H180" s="1">
        <v>10.362244</v>
      </c>
      <c r="I180" s="1">
        <v>1.0885000000000001E-2</v>
      </c>
      <c r="J180" s="1">
        <v>112.79740200000001</v>
      </c>
      <c r="K180" s="1">
        <v>0</v>
      </c>
      <c r="L180" s="1">
        <v>0</v>
      </c>
      <c r="M180" s="1" t="s">
        <v>31</v>
      </c>
      <c r="N180" s="1" t="s">
        <v>31</v>
      </c>
      <c r="O180" s="1" t="s">
        <v>31</v>
      </c>
      <c r="P180" s="2">
        <f t="shared" si="4"/>
        <v>0</v>
      </c>
      <c r="Q180" s="2">
        <f t="shared" si="5"/>
        <v>0</v>
      </c>
    </row>
    <row r="181" spans="1:17" ht="12.5" x14ac:dyDescent="0.25">
      <c r="A181" s="3">
        <v>46118</v>
      </c>
      <c r="B181" s="1" t="s">
        <v>16</v>
      </c>
      <c r="C181" s="1" t="s">
        <v>67</v>
      </c>
      <c r="D181" s="1" t="s">
        <v>41</v>
      </c>
      <c r="E181" s="1">
        <v>1013.982498</v>
      </c>
      <c r="F181" s="1">
        <v>98</v>
      </c>
      <c r="G181" s="1">
        <v>9634</v>
      </c>
      <c r="H181" s="1">
        <v>10.34676</v>
      </c>
      <c r="I181" s="1">
        <v>1.0172E-2</v>
      </c>
      <c r="J181" s="1">
        <v>105.250415</v>
      </c>
      <c r="K181" s="1">
        <v>0</v>
      </c>
      <c r="L181" s="1">
        <v>0</v>
      </c>
      <c r="M181" s="1" t="s">
        <v>31</v>
      </c>
      <c r="N181" s="1" t="s">
        <v>31</v>
      </c>
      <c r="O181" s="1" t="s">
        <v>31</v>
      </c>
      <c r="P181" s="2">
        <f t="shared" si="4"/>
        <v>0</v>
      </c>
      <c r="Q181" s="2">
        <f t="shared" si="5"/>
        <v>0</v>
      </c>
    </row>
    <row r="182" spans="1:17" ht="12.5" x14ac:dyDescent="0.25">
      <c r="A182" s="3">
        <v>46148</v>
      </c>
      <c r="B182" s="1" t="s">
        <v>16</v>
      </c>
      <c r="C182" s="1" t="s">
        <v>67</v>
      </c>
      <c r="D182" s="1" t="s">
        <v>41</v>
      </c>
      <c r="E182" s="1">
        <v>796.72066600000005</v>
      </c>
      <c r="F182" s="1">
        <v>92</v>
      </c>
      <c r="G182" s="1">
        <v>7977</v>
      </c>
      <c r="H182" s="1">
        <v>8.6600070000000002</v>
      </c>
      <c r="I182" s="1">
        <v>1.1533E-2</v>
      </c>
      <c r="J182" s="1">
        <v>99.877229999999997</v>
      </c>
      <c r="K182" s="1">
        <v>0</v>
      </c>
      <c r="L182" s="1">
        <v>0</v>
      </c>
      <c r="M182" s="1" t="s">
        <v>31</v>
      </c>
      <c r="N182" s="1" t="s">
        <v>31</v>
      </c>
      <c r="O182" s="1" t="s">
        <v>31</v>
      </c>
      <c r="P182" s="2">
        <f t="shared" si="4"/>
        <v>0</v>
      </c>
      <c r="Q182" s="2">
        <f t="shared" si="5"/>
        <v>0</v>
      </c>
    </row>
    <row r="183" spans="1:17" ht="12.5" x14ac:dyDescent="0.25">
      <c r="A183" s="3">
        <v>46179</v>
      </c>
      <c r="B183" s="1" t="s">
        <v>16</v>
      </c>
      <c r="C183" s="1" t="s">
        <v>67</v>
      </c>
      <c r="D183" s="1" t="s">
        <v>41</v>
      </c>
      <c r="E183" s="1">
        <v>1350.7181680000001</v>
      </c>
      <c r="F183" s="1">
        <v>51</v>
      </c>
      <c r="G183" s="1">
        <v>3750</v>
      </c>
      <c r="H183" s="1">
        <v>26.484670000000001</v>
      </c>
      <c r="I183" s="1">
        <v>1.3599999999999999E-2</v>
      </c>
      <c r="J183" s="1">
        <v>360.19151099999999</v>
      </c>
      <c r="K183" s="1">
        <v>0</v>
      </c>
      <c r="L183" s="1">
        <v>0</v>
      </c>
      <c r="M183" s="1" t="s">
        <v>31</v>
      </c>
      <c r="N183" s="1" t="s">
        <v>31</v>
      </c>
      <c r="O183" s="1" t="s">
        <v>31</v>
      </c>
      <c r="P183" s="2">
        <f t="shared" si="4"/>
        <v>0</v>
      </c>
      <c r="Q183" s="2">
        <f t="shared" si="5"/>
        <v>0</v>
      </c>
    </row>
    <row r="184" spans="1:17" ht="12.5" x14ac:dyDescent="0.25">
      <c r="A184" s="3">
        <v>46209</v>
      </c>
      <c r="B184" s="1" t="s">
        <v>16</v>
      </c>
      <c r="C184" s="1" t="s">
        <v>67</v>
      </c>
      <c r="D184" s="1" t="s">
        <v>41</v>
      </c>
      <c r="E184" s="1">
        <v>992.305385</v>
      </c>
      <c r="F184" s="1">
        <v>45</v>
      </c>
      <c r="G184" s="1">
        <v>5428</v>
      </c>
      <c r="H184" s="1">
        <v>22.051231000000001</v>
      </c>
      <c r="I184" s="1">
        <v>8.2900000000000005E-3</v>
      </c>
      <c r="J184" s="1">
        <v>182.812341</v>
      </c>
      <c r="K184" s="1">
        <v>0</v>
      </c>
      <c r="L184" s="1">
        <v>0</v>
      </c>
      <c r="M184" s="1" t="s">
        <v>31</v>
      </c>
      <c r="N184" s="1" t="s">
        <v>31</v>
      </c>
      <c r="O184" s="1" t="s">
        <v>31</v>
      </c>
      <c r="P184" s="2">
        <f t="shared" si="4"/>
        <v>0</v>
      </c>
      <c r="Q184" s="2">
        <f t="shared" si="5"/>
        <v>0</v>
      </c>
    </row>
    <row r="185" spans="1:17" ht="12.5" x14ac:dyDescent="0.25">
      <c r="A185" s="3">
        <v>46240</v>
      </c>
      <c r="B185" s="1" t="s">
        <v>16</v>
      </c>
      <c r="C185" s="1" t="s">
        <v>67</v>
      </c>
      <c r="D185" s="1" t="s">
        <v>41</v>
      </c>
      <c r="E185" s="1">
        <v>1016.396257</v>
      </c>
      <c r="F185" s="1">
        <v>73</v>
      </c>
      <c r="G185" s="1">
        <v>5939</v>
      </c>
      <c r="H185" s="1">
        <v>13.923235999999999</v>
      </c>
      <c r="I185" s="1">
        <v>1.2292000000000001E-2</v>
      </c>
      <c r="J185" s="1">
        <v>171.13929200000001</v>
      </c>
      <c r="K185" s="1">
        <v>0</v>
      </c>
      <c r="L185" s="1">
        <v>0</v>
      </c>
      <c r="M185" s="1" t="s">
        <v>31</v>
      </c>
      <c r="N185" s="1" t="s">
        <v>31</v>
      </c>
      <c r="O185" s="1" t="s">
        <v>31</v>
      </c>
      <c r="P185" s="2">
        <f t="shared" si="4"/>
        <v>0</v>
      </c>
      <c r="Q185" s="2">
        <f t="shared" si="5"/>
        <v>0</v>
      </c>
    </row>
    <row r="186" spans="1:17" ht="12.5" x14ac:dyDescent="0.25">
      <c r="A186" s="3">
        <v>46271</v>
      </c>
      <c r="B186" s="1" t="s">
        <v>16</v>
      </c>
      <c r="C186" s="1" t="s">
        <v>67</v>
      </c>
      <c r="D186" s="1" t="s">
        <v>41</v>
      </c>
      <c r="E186" s="1">
        <v>863.474647</v>
      </c>
      <c r="F186" s="1">
        <v>45</v>
      </c>
      <c r="G186" s="1">
        <v>3464</v>
      </c>
      <c r="H186" s="1">
        <v>19.188324999999999</v>
      </c>
      <c r="I186" s="1">
        <v>1.2991000000000001E-2</v>
      </c>
      <c r="J186" s="1">
        <v>249.270972</v>
      </c>
      <c r="K186" s="1">
        <v>0.62</v>
      </c>
      <c r="L186" s="1">
        <v>3109.1141659999998</v>
      </c>
      <c r="M186" s="1" t="s">
        <v>31</v>
      </c>
      <c r="N186" s="1" t="s">
        <v>31</v>
      </c>
      <c r="O186" s="1" t="s">
        <v>31</v>
      </c>
      <c r="P186" s="2">
        <f t="shared" si="4"/>
        <v>1.9941371300548119E-4</v>
      </c>
      <c r="Q186" s="2">
        <f t="shared" si="5"/>
        <v>1392.7010435483871</v>
      </c>
    </row>
    <row r="187" spans="1:17" ht="12.5" x14ac:dyDescent="0.25">
      <c r="A187" s="3">
        <v>46301</v>
      </c>
      <c r="B187" s="1" t="s">
        <v>16</v>
      </c>
      <c r="C187" s="1" t="s">
        <v>67</v>
      </c>
      <c r="D187" s="1" t="s">
        <v>41</v>
      </c>
      <c r="E187" s="1">
        <v>709.99025300000005</v>
      </c>
      <c r="F187" s="1">
        <v>37</v>
      </c>
      <c r="G187" s="1">
        <v>3195</v>
      </c>
      <c r="H187" s="1">
        <v>19.188925999999999</v>
      </c>
      <c r="I187" s="1">
        <v>1.1580999999999999E-2</v>
      </c>
      <c r="J187" s="1">
        <v>222.21917199999999</v>
      </c>
      <c r="K187" s="1">
        <v>0</v>
      </c>
      <c r="L187" s="1">
        <v>0</v>
      </c>
      <c r="M187" s="1" t="s">
        <v>31</v>
      </c>
      <c r="N187" s="1" t="s">
        <v>31</v>
      </c>
      <c r="O187" s="1" t="s">
        <v>31</v>
      </c>
      <c r="P187" s="2">
        <f t="shared" si="4"/>
        <v>0</v>
      </c>
      <c r="Q187" s="2">
        <f t="shared" si="5"/>
        <v>0</v>
      </c>
    </row>
    <row r="188" spans="1:17" ht="12.5" x14ac:dyDescent="0.25">
      <c r="A188" s="3">
        <v>46332</v>
      </c>
      <c r="B188" s="1" t="s">
        <v>16</v>
      </c>
      <c r="C188" s="1" t="s">
        <v>67</v>
      </c>
      <c r="D188" s="1" t="s">
        <v>41</v>
      </c>
      <c r="E188" s="1">
        <v>99.712712999999994</v>
      </c>
      <c r="F188" s="1">
        <v>12</v>
      </c>
      <c r="G188" s="1">
        <v>520</v>
      </c>
      <c r="H188" s="1">
        <v>8.309393</v>
      </c>
      <c r="I188" s="1">
        <v>2.3077E-2</v>
      </c>
      <c r="J188" s="1">
        <v>191.75521699999999</v>
      </c>
      <c r="K188" s="1">
        <v>0</v>
      </c>
      <c r="L188" s="1">
        <v>0</v>
      </c>
      <c r="M188" s="1" t="s">
        <v>31</v>
      </c>
      <c r="N188" s="1" t="s">
        <v>31</v>
      </c>
      <c r="O188" s="1" t="s">
        <v>31</v>
      </c>
      <c r="P188" s="2">
        <f t="shared" si="4"/>
        <v>0</v>
      </c>
      <c r="Q188" s="2">
        <f t="shared" si="5"/>
        <v>0</v>
      </c>
    </row>
    <row r="189" spans="1:17" ht="12.5" x14ac:dyDescent="0.25">
      <c r="A189" s="3">
        <v>46362</v>
      </c>
      <c r="B189" s="1" t="s">
        <v>16</v>
      </c>
      <c r="C189" s="1" t="s">
        <v>67</v>
      </c>
      <c r="D189" s="1" t="s">
        <v>41</v>
      </c>
      <c r="E189" s="1">
        <v>1302.2288579999999</v>
      </c>
      <c r="F189" s="1">
        <v>112</v>
      </c>
      <c r="G189" s="1">
        <v>6527</v>
      </c>
      <c r="H189" s="1">
        <v>11.627043</v>
      </c>
      <c r="I189" s="1">
        <v>1.7159000000000001E-2</v>
      </c>
      <c r="J189" s="1">
        <v>199.51415</v>
      </c>
      <c r="K189" s="1">
        <v>2.4700000000000002</v>
      </c>
      <c r="L189" s="1">
        <v>9974.6524000000009</v>
      </c>
      <c r="M189" s="1" t="s">
        <v>31</v>
      </c>
      <c r="N189" s="1" t="s">
        <v>31</v>
      </c>
      <c r="O189" s="1" t="s">
        <v>31</v>
      </c>
      <c r="P189" s="2">
        <f t="shared" si="4"/>
        <v>2.4762767672986777E-4</v>
      </c>
      <c r="Q189" s="2">
        <f t="shared" si="5"/>
        <v>527.21816113360319</v>
      </c>
    </row>
    <row r="190" spans="1:17" ht="12.5" x14ac:dyDescent="0.25">
      <c r="A190" s="1" t="s">
        <v>57</v>
      </c>
      <c r="B190" s="1" t="s">
        <v>16</v>
      </c>
      <c r="C190" s="1" t="s">
        <v>67</v>
      </c>
      <c r="D190" s="1" t="s">
        <v>41</v>
      </c>
      <c r="E190" s="1">
        <v>815.186691</v>
      </c>
      <c r="F190" s="1">
        <v>101</v>
      </c>
      <c r="G190" s="1">
        <v>6553</v>
      </c>
      <c r="H190" s="1">
        <v>8.0711549999999992</v>
      </c>
      <c r="I190" s="1">
        <v>1.5413E-2</v>
      </c>
      <c r="J190" s="1">
        <v>124.399007</v>
      </c>
      <c r="K190" s="1">
        <v>0</v>
      </c>
      <c r="L190" s="1">
        <v>0</v>
      </c>
      <c r="M190" s="1" t="s">
        <v>31</v>
      </c>
      <c r="N190" s="1" t="s">
        <v>31</v>
      </c>
      <c r="O190" s="1" t="s">
        <v>31</v>
      </c>
      <c r="P190" s="2">
        <f t="shared" si="4"/>
        <v>0</v>
      </c>
      <c r="Q190" s="2">
        <f t="shared" si="5"/>
        <v>0</v>
      </c>
    </row>
    <row r="191" spans="1:17" ht="12.5" x14ac:dyDescent="0.25">
      <c r="A191" s="1" t="s">
        <v>58</v>
      </c>
      <c r="B191" s="1" t="s">
        <v>16</v>
      </c>
      <c r="C191" s="1" t="s">
        <v>67</v>
      </c>
      <c r="D191" s="1" t="s">
        <v>41</v>
      </c>
      <c r="E191" s="1">
        <v>649.001082</v>
      </c>
      <c r="F191" s="1">
        <v>64</v>
      </c>
      <c r="G191" s="1">
        <v>4227</v>
      </c>
      <c r="H191" s="1">
        <v>10.140642</v>
      </c>
      <c r="I191" s="1">
        <v>1.5141E-2</v>
      </c>
      <c r="J191" s="1">
        <v>153.53704300000001</v>
      </c>
      <c r="K191" s="1">
        <v>0</v>
      </c>
      <c r="L191" s="1">
        <v>0</v>
      </c>
      <c r="M191" s="1" t="s">
        <v>31</v>
      </c>
      <c r="N191" s="1" t="s">
        <v>31</v>
      </c>
      <c r="O191" s="1" t="s">
        <v>31</v>
      </c>
      <c r="P191" s="2">
        <f t="shared" si="4"/>
        <v>0</v>
      </c>
      <c r="Q191" s="2">
        <f t="shared" si="5"/>
        <v>0</v>
      </c>
    </row>
    <row r="192" spans="1:17" ht="12.5" x14ac:dyDescent="0.25">
      <c r="A192" s="1" t="s">
        <v>59</v>
      </c>
      <c r="B192" s="1" t="s">
        <v>16</v>
      </c>
      <c r="C192" s="1" t="s">
        <v>67</v>
      </c>
      <c r="D192" s="1" t="s">
        <v>41</v>
      </c>
      <c r="E192" s="1">
        <v>818.24933099999998</v>
      </c>
      <c r="F192" s="1">
        <v>97</v>
      </c>
      <c r="G192" s="1">
        <v>5569</v>
      </c>
      <c r="H192" s="1">
        <v>8.4355600000000006</v>
      </c>
      <c r="I192" s="1">
        <v>1.7417999999999999E-2</v>
      </c>
      <c r="J192" s="1">
        <v>146.92931100000001</v>
      </c>
      <c r="K192" s="1">
        <v>0.75</v>
      </c>
      <c r="L192" s="1">
        <v>24502.107960000001</v>
      </c>
      <c r="M192" s="1" t="s">
        <v>31</v>
      </c>
      <c r="N192" s="1" t="s">
        <v>31</v>
      </c>
      <c r="O192" s="1" t="s">
        <v>31</v>
      </c>
      <c r="P192" s="2">
        <f t="shared" si="4"/>
        <v>3.0609611271992778E-5</v>
      </c>
      <c r="Q192" s="2">
        <f t="shared" si="5"/>
        <v>1090.999108</v>
      </c>
    </row>
    <row r="193" spans="1:17" ht="12.5" x14ac:dyDescent="0.25">
      <c r="A193" s="1" t="s">
        <v>60</v>
      </c>
      <c r="B193" s="1" t="s">
        <v>16</v>
      </c>
      <c r="C193" s="1" t="s">
        <v>67</v>
      </c>
      <c r="D193" s="1" t="s">
        <v>41</v>
      </c>
      <c r="E193" s="1">
        <v>432.94489700000003</v>
      </c>
      <c r="F193" s="1">
        <v>64</v>
      </c>
      <c r="G193" s="1">
        <v>6240</v>
      </c>
      <c r="H193" s="1">
        <v>6.7647640000000004</v>
      </c>
      <c r="I193" s="1">
        <v>1.0255999999999999E-2</v>
      </c>
      <c r="J193" s="1">
        <v>69.382194999999996</v>
      </c>
      <c r="K193" s="1">
        <v>0.25</v>
      </c>
      <c r="L193" s="1">
        <v>8167.6633499999998</v>
      </c>
      <c r="M193" s="1" t="s">
        <v>31</v>
      </c>
      <c r="N193" s="1" t="s">
        <v>31</v>
      </c>
      <c r="O193" s="1" t="s">
        <v>31</v>
      </c>
      <c r="P193" s="2">
        <f t="shared" si="4"/>
        <v>3.060850934802547E-5</v>
      </c>
      <c r="Q193" s="2">
        <f t="shared" si="5"/>
        <v>1731.7795880000001</v>
      </c>
    </row>
    <row r="194" spans="1:17" ht="12.5" x14ac:dyDescent="0.25">
      <c r="A194" s="1" t="s">
        <v>61</v>
      </c>
      <c r="B194" s="1" t="s">
        <v>16</v>
      </c>
      <c r="C194" s="1" t="s">
        <v>67</v>
      </c>
      <c r="D194" s="1" t="s">
        <v>41</v>
      </c>
      <c r="E194" s="1">
        <v>847.59072900000001</v>
      </c>
      <c r="F194" s="1">
        <v>95</v>
      </c>
      <c r="G194" s="1">
        <v>6970</v>
      </c>
      <c r="H194" s="1">
        <v>8.9220079999999999</v>
      </c>
      <c r="I194" s="1">
        <v>1.363E-2</v>
      </c>
      <c r="J194" s="1">
        <v>121.605557</v>
      </c>
      <c r="K194" s="1">
        <v>0</v>
      </c>
      <c r="L194" s="1">
        <v>0</v>
      </c>
      <c r="M194" s="1" t="s">
        <v>31</v>
      </c>
      <c r="N194" s="1" t="s">
        <v>31</v>
      </c>
      <c r="O194" s="1" t="s">
        <v>31</v>
      </c>
      <c r="P194" s="2">
        <f t="shared" si="4"/>
        <v>0</v>
      </c>
      <c r="Q194" s="2">
        <f t="shared" si="5"/>
        <v>0</v>
      </c>
    </row>
    <row r="195" spans="1:17" ht="12.5" x14ac:dyDescent="0.25">
      <c r="A195" s="1" t="s">
        <v>62</v>
      </c>
      <c r="B195" s="1" t="s">
        <v>16</v>
      </c>
      <c r="C195" s="1" t="s">
        <v>67</v>
      </c>
      <c r="D195" s="1" t="s">
        <v>41</v>
      </c>
      <c r="E195" s="1">
        <v>563.60960399999999</v>
      </c>
      <c r="F195" s="1">
        <v>66</v>
      </c>
      <c r="G195" s="1">
        <v>5252</v>
      </c>
      <c r="H195" s="1">
        <v>8.5395389999999995</v>
      </c>
      <c r="I195" s="1">
        <v>1.2567E-2</v>
      </c>
      <c r="J195" s="1">
        <v>107.313329</v>
      </c>
      <c r="K195" s="1">
        <v>0.01</v>
      </c>
      <c r="L195" s="1">
        <v>53.709479999999999</v>
      </c>
      <c r="M195" s="1" t="s">
        <v>31</v>
      </c>
      <c r="N195" s="1" t="s">
        <v>31</v>
      </c>
      <c r="O195" s="1" t="s">
        <v>31</v>
      </c>
      <c r="P195" s="2">
        <f t="shared" ref="P195:P258" si="6">IFERROR(K195/ L195, 0)</f>
        <v>1.861868705487374E-4</v>
      </c>
      <c r="Q195" s="2">
        <f t="shared" ref="Q195:Q258" si="7">IFERROR(E195/K195, 0)</f>
        <v>56360.960399999996</v>
      </c>
    </row>
    <row r="196" spans="1:17" ht="12.5" x14ac:dyDescent="0.25">
      <c r="A196" s="1" t="s">
        <v>63</v>
      </c>
      <c r="B196" s="1" t="s">
        <v>16</v>
      </c>
      <c r="C196" s="1" t="s">
        <v>67</v>
      </c>
      <c r="D196" s="1" t="s">
        <v>41</v>
      </c>
      <c r="E196" s="1">
        <v>709.92426499999999</v>
      </c>
      <c r="F196" s="1">
        <v>108</v>
      </c>
      <c r="G196" s="1">
        <v>8180</v>
      </c>
      <c r="H196" s="1">
        <v>6.5733730000000001</v>
      </c>
      <c r="I196" s="1">
        <v>1.3202999999999999E-2</v>
      </c>
      <c r="J196" s="1">
        <v>86.787807000000001</v>
      </c>
      <c r="K196" s="1">
        <v>0</v>
      </c>
      <c r="L196" s="1">
        <v>0</v>
      </c>
      <c r="M196" s="1" t="s">
        <v>31</v>
      </c>
      <c r="N196" s="1" t="s">
        <v>31</v>
      </c>
      <c r="O196" s="1" t="s">
        <v>31</v>
      </c>
      <c r="P196" s="2">
        <f t="shared" si="6"/>
        <v>0</v>
      </c>
      <c r="Q196" s="2">
        <f t="shared" si="7"/>
        <v>0</v>
      </c>
    </row>
    <row r="197" spans="1:17" ht="12.5" x14ac:dyDescent="0.25">
      <c r="A197" s="1" t="s">
        <v>64</v>
      </c>
      <c r="B197" s="1" t="s">
        <v>16</v>
      </c>
      <c r="C197" s="1" t="s">
        <v>67</v>
      </c>
      <c r="D197" s="1" t="s">
        <v>41</v>
      </c>
      <c r="E197" s="1">
        <v>982.47018800000001</v>
      </c>
      <c r="F197" s="1">
        <v>126</v>
      </c>
      <c r="G197" s="1">
        <v>7472</v>
      </c>
      <c r="H197" s="1">
        <v>7.7973819999999998</v>
      </c>
      <c r="I197" s="1">
        <v>1.6863E-2</v>
      </c>
      <c r="J197" s="1">
        <v>131.48690999999999</v>
      </c>
      <c r="K197" s="1">
        <v>0</v>
      </c>
      <c r="L197" s="1">
        <v>0</v>
      </c>
      <c r="M197" s="1" t="s">
        <v>31</v>
      </c>
      <c r="N197" s="1" t="s">
        <v>31</v>
      </c>
      <c r="O197" s="1" t="s">
        <v>31</v>
      </c>
      <c r="P197" s="2">
        <f t="shared" si="6"/>
        <v>0</v>
      </c>
      <c r="Q197" s="2">
        <f t="shared" si="7"/>
        <v>0</v>
      </c>
    </row>
    <row r="198" spans="1:17" ht="12.5" x14ac:dyDescent="0.25">
      <c r="A198" s="1" t="s">
        <v>45</v>
      </c>
      <c r="B198" s="1" t="s">
        <v>16</v>
      </c>
      <c r="C198" s="1" t="s">
        <v>67</v>
      </c>
      <c r="D198" s="1" t="s">
        <v>41</v>
      </c>
      <c r="E198" s="1">
        <v>706.94181600000002</v>
      </c>
      <c r="F198" s="1">
        <v>133</v>
      </c>
      <c r="G198" s="1">
        <v>7227</v>
      </c>
      <c r="H198" s="1">
        <v>5.3153519999999999</v>
      </c>
      <c r="I198" s="1">
        <v>1.8402999999999999E-2</v>
      </c>
      <c r="J198" s="1">
        <v>97.819540000000003</v>
      </c>
      <c r="K198" s="1">
        <v>2</v>
      </c>
      <c r="L198" s="1">
        <v>11296.6</v>
      </c>
      <c r="M198" s="1" t="s">
        <v>31</v>
      </c>
      <c r="N198" s="1" t="s">
        <v>31</v>
      </c>
      <c r="O198" s="1" t="s">
        <v>31</v>
      </c>
      <c r="P198" s="2">
        <f t="shared" si="6"/>
        <v>1.7704442044508967E-4</v>
      </c>
      <c r="Q198" s="2">
        <f t="shared" si="7"/>
        <v>353.47090800000001</v>
      </c>
    </row>
    <row r="199" spans="1:17" ht="12.5" x14ac:dyDescent="0.25">
      <c r="A199" s="1" t="s">
        <v>48</v>
      </c>
      <c r="B199" s="1" t="s">
        <v>16</v>
      </c>
      <c r="C199" s="1" t="s">
        <v>67</v>
      </c>
      <c r="D199" s="1" t="s">
        <v>41</v>
      </c>
      <c r="E199" s="1">
        <v>668.61405500000001</v>
      </c>
      <c r="F199" s="1">
        <v>106</v>
      </c>
      <c r="G199" s="1">
        <v>5594</v>
      </c>
      <c r="H199" s="1">
        <v>6.3076800000000004</v>
      </c>
      <c r="I199" s="1">
        <v>1.8949000000000001E-2</v>
      </c>
      <c r="J199" s="1">
        <v>119.523428</v>
      </c>
      <c r="K199" s="1">
        <v>0</v>
      </c>
      <c r="L199" s="1">
        <v>0</v>
      </c>
      <c r="M199" s="1" t="s">
        <v>31</v>
      </c>
      <c r="N199" s="1" t="s">
        <v>31</v>
      </c>
      <c r="O199" s="1" t="s">
        <v>31</v>
      </c>
      <c r="P199" s="2">
        <f t="shared" si="6"/>
        <v>0</v>
      </c>
      <c r="Q199" s="2">
        <f t="shared" si="7"/>
        <v>0</v>
      </c>
    </row>
    <row r="200" spans="1:17" ht="12.5" x14ac:dyDescent="0.25">
      <c r="A200" s="1" t="s">
        <v>49</v>
      </c>
      <c r="B200" s="1" t="s">
        <v>16</v>
      </c>
      <c r="C200" s="1" t="s">
        <v>67</v>
      </c>
      <c r="D200" s="1" t="s">
        <v>41</v>
      </c>
      <c r="E200" s="1">
        <v>616.64785700000004</v>
      </c>
      <c r="F200" s="1">
        <v>58</v>
      </c>
      <c r="G200" s="1">
        <v>3441</v>
      </c>
      <c r="H200" s="1">
        <v>10.63186</v>
      </c>
      <c r="I200" s="1">
        <v>1.6855999999999999E-2</v>
      </c>
      <c r="J200" s="1">
        <v>179.20600300000001</v>
      </c>
      <c r="K200" s="1">
        <v>0</v>
      </c>
      <c r="L200" s="1">
        <v>0</v>
      </c>
      <c r="M200" s="1" t="s">
        <v>31</v>
      </c>
      <c r="N200" s="1" t="s">
        <v>31</v>
      </c>
      <c r="O200" s="1" t="s">
        <v>31</v>
      </c>
      <c r="P200" s="2">
        <f t="shared" si="6"/>
        <v>0</v>
      </c>
      <c r="Q200" s="2">
        <f t="shared" si="7"/>
        <v>0</v>
      </c>
    </row>
    <row r="201" spans="1:17" ht="12.5" x14ac:dyDescent="0.25">
      <c r="A201" s="1" t="s">
        <v>50</v>
      </c>
      <c r="B201" s="1" t="s">
        <v>16</v>
      </c>
      <c r="C201" s="1" t="s">
        <v>67</v>
      </c>
      <c r="D201" s="1" t="s">
        <v>41</v>
      </c>
      <c r="E201" s="1">
        <v>808.21369600000003</v>
      </c>
      <c r="F201" s="1">
        <v>138</v>
      </c>
      <c r="G201" s="1">
        <v>7695</v>
      </c>
      <c r="H201" s="1">
        <v>5.8566209999999996</v>
      </c>
      <c r="I201" s="1">
        <v>1.7933999999999999E-2</v>
      </c>
      <c r="J201" s="1">
        <v>105.03102</v>
      </c>
      <c r="K201" s="1">
        <v>0</v>
      </c>
      <c r="L201" s="1">
        <v>0</v>
      </c>
      <c r="M201" s="1" t="s">
        <v>31</v>
      </c>
      <c r="N201" s="1" t="s">
        <v>31</v>
      </c>
      <c r="O201" s="1" t="s">
        <v>31</v>
      </c>
      <c r="P201" s="2">
        <f t="shared" si="6"/>
        <v>0</v>
      </c>
      <c r="Q201" s="2">
        <f t="shared" si="7"/>
        <v>0</v>
      </c>
    </row>
    <row r="202" spans="1:17" ht="12.5" x14ac:dyDescent="0.25">
      <c r="A202" s="1" t="s">
        <v>51</v>
      </c>
      <c r="B202" s="1" t="s">
        <v>16</v>
      </c>
      <c r="C202" s="1" t="s">
        <v>67</v>
      </c>
      <c r="D202" s="1" t="s">
        <v>41</v>
      </c>
      <c r="E202" s="1">
        <v>184.766505</v>
      </c>
      <c r="F202" s="1">
        <v>31</v>
      </c>
      <c r="G202" s="1">
        <v>1685</v>
      </c>
      <c r="H202" s="1">
        <v>5.96021</v>
      </c>
      <c r="I202" s="1">
        <v>1.8398000000000001E-2</v>
      </c>
      <c r="J202" s="1">
        <v>109.653712</v>
      </c>
      <c r="K202" s="1">
        <v>0</v>
      </c>
      <c r="L202" s="1">
        <v>0</v>
      </c>
      <c r="M202" s="1" t="s">
        <v>31</v>
      </c>
      <c r="N202" s="1" t="s">
        <v>31</v>
      </c>
      <c r="O202" s="1" t="s">
        <v>31</v>
      </c>
      <c r="P202" s="2">
        <f t="shared" si="6"/>
        <v>0</v>
      </c>
      <c r="Q202" s="2">
        <f t="shared" si="7"/>
        <v>0</v>
      </c>
    </row>
    <row r="203" spans="1:17" ht="12.5" x14ac:dyDescent="0.25">
      <c r="A203" s="1" t="s">
        <v>65</v>
      </c>
      <c r="B203" s="1" t="s">
        <v>16</v>
      </c>
      <c r="C203" s="1" t="s">
        <v>67</v>
      </c>
      <c r="D203" s="1" t="s">
        <v>41</v>
      </c>
      <c r="E203" s="1">
        <v>479.99174299999999</v>
      </c>
      <c r="F203" s="1">
        <v>81</v>
      </c>
      <c r="G203" s="1">
        <v>4698</v>
      </c>
      <c r="H203" s="1">
        <v>5.9258240000000004</v>
      </c>
      <c r="I203" s="1">
        <v>1.7240999999999999E-2</v>
      </c>
      <c r="J203" s="1">
        <v>102.16937900000001</v>
      </c>
      <c r="K203" s="1">
        <v>0</v>
      </c>
      <c r="L203" s="1">
        <v>0</v>
      </c>
      <c r="M203" s="1" t="s">
        <v>31</v>
      </c>
      <c r="N203" s="1" t="s">
        <v>31</v>
      </c>
      <c r="O203" s="1" t="s">
        <v>31</v>
      </c>
      <c r="P203" s="2">
        <f t="shared" si="6"/>
        <v>0</v>
      </c>
      <c r="Q203" s="2">
        <f t="shared" si="7"/>
        <v>0</v>
      </c>
    </row>
    <row r="204" spans="1:17" ht="12.5" x14ac:dyDescent="0.25">
      <c r="A204" s="1" t="s">
        <v>52</v>
      </c>
      <c r="B204" s="1" t="s">
        <v>16</v>
      </c>
      <c r="C204" s="1" t="s">
        <v>67</v>
      </c>
      <c r="D204" s="1" t="s">
        <v>41</v>
      </c>
      <c r="E204" s="1">
        <v>1231.935516</v>
      </c>
      <c r="F204" s="1">
        <v>245</v>
      </c>
      <c r="G204" s="1">
        <v>12134</v>
      </c>
      <c r="H204" s="1">
        <v>5.028308</v>
      </c>
      <c r="I204" s="1">
        <v>2.0191000000000001E-2</v>
      </c>
      <c r="J204" s="1">
        <v>101.527568</v>
      </c>
      <c r="K204" s="1">
        <v>1</v>
      </c>
      <c r="L204" s="1">
        <v>14675</v>
      </c>
      <c r="M204" s="1" t="s">
        <v>31</v>
      </c>
      <c r="N204" s="1" t="s">
        <v>31</v>
      </c>
      <c r="O204" s="1" t="s">
        <v>31</v>
      </c>
      <c r="P204" s="2">
        <f t="shared" si="6"/>
        <v>6.8143100511073248E-5</v>
      </c>
      <c r="Q204" s="2">
        <f t="shared" si="7"/>
        <v>1231.935516</v>
      </c>
    </row>
    <row r="205" spans="1:17" ht="12.5" x14ac:dyDescent="0.25">
      <c r="A205" s="1" t="s">
        <v>53</v>
      </c>
      <c r="B205" s="1" t="s">
        <v>16</v>
      </c>
      <c r="C205" s="1" t="s">
        <v>67</v>
      </c>
      <c r="D205" s="1" t="s">
        <v>41</v>
      </c>
      <c r="E205" s="1">
        <v>494.03149000000002</v>
      </c>
      <c r="F205" s="1">
        <v>85</v>
      </c>
      <c r="G205" s="1">
        <v>4370</v>
      </c>
      <c r="H205" s="1">
        <v>5.8121349999999996</v>
      </c>
      <c r="I205" s="1">
        <v>1.9451E-2</v>
      </c>
      <c r="J205" s="1">
        <v>113.050684</v>
      </c>
      <c r="K205" s="1">
        <v>0</v>
      </c>
      <c r="L205" s="1">
        <v>0</v>
      </c>
      <c r="M205" s="1" t="s">
        <v>31</v>
      </c>
      <c r="N205" s="1" t="s">
        <v>31</v>
      </c>
      <c r="O205" s="1" t="s">
        <v>31</v>
      </c>
      <c r="P205" s="2">
        <f t="shared" si="6"/>
        <v>0</v>
      </c>
      <c r="Q205" s="2">
        <f t="shared" si="7"/>
        <v>0</v>
      </c>
    </row>
    <row r="206" spans="1:17" ht="12.5" x14ac:dyDescent="0.25">
      <c r="A206" s="1" t="s">
        <v>54</v>
      </c>
      <c r="B206" s="1" t="s">
        <v>16</v>
      </c>
      <c r="C206" s="1" t="s">
        <v>67</v>
      </c>
      <c r="D206" s="1" t="s">
        <v>41</v>
      </c>
      <c r="E206" s="1">
        <v>870.80910300000005</v>
      </c>
      <c r="F206" s="1">
        <v>133</v>
      </c>
      <c r="G206" s="1">
        <v>8180</v>
      </c>
      <c r="H206" s="1">
        <v>6.5474370000000004</v>
      </c>
      <c r="I206" s="1">
        <v>1.6258999999999999E-2</v>
      </c>
      <c r="J206" s="1">
        <v>106.45588100000001</v>
      </c>
      <c r="K206" s="1">
        <v>1.94</v>
      </c>
      <c r="L206" s="1">
        <v>5710.1794399999999</v>
      </c>
      <c r="M206" s="1" t="s">
        <v>31</v>
      </c>
      <c r="N206" s="1" t="s">
        <v>31</v>
      </c>
      <c r="O206" s="1" t="s">
        <v>31</v>
      </c>
      <c r="P206" s="2">
        <f t="shared" si="6"/>
        <v>3.3974413945912703E-4</v>
      </c>
      <c r="Q206" s="2">
        <f t="shared" si="7"/>
        <v>448.87067164948456</v>
      </c>
    </row>
    <row r="207" spans="1:17" ht="12.5" x14ac:dyDescent="0.25">
      <c r="A207" s="1" t="s">
        <v>55</v>
      </c>
      <c r="B207" s="1" t="s">
        <v>16</v>
      </c>
      <c r="C207" s="1" t="s">
        <v>67</v>
      </c>
      <c r="D207" s="1" t="s">
        <v>41</v>
      </c>
      <c r="E207" s="1">
        <v>708.59084600000006</v>
      </c>
      <c r="F207" s="1">
        <v>106</v>
      </c>
      <c r="G207" s="1">
        <v>5548</v>
      </c>
      <c r="H207" s="1">
        <v>6.6848190000000001</v>
      </c>
      <c r="I207" s="1">
        <v>1.9106000000000001E-2</v>
      </c>
      <c r="J207" s="1">
        <v>127.720052</v>
      </c>
      <c r="K207" s="1">
        <v>0</v>
      </c>
      <c r="L207" s="1">
        <v>0</v>
      </c>
      <c r="M207" s="1" t="s">
        <v>31</v>
      </c>
      <c r="N207" s="1" t="s">
        <v>31</v>
      </c>
      <c r="O207" s="1" t="s">
        <v>31</v>
      </c>
      <c r="P207" s="2">
        <f t="shared" si="6"/>
        <v>0</v>
      </c>
      <c r="Q207" s="2">
        <f t="shared" si="7"/>
        <v>0</v>
      </c>
    </row>
    <row r="208" spans="1:17" ht="12.5" x14ac:dyDescent="0.25">
      <c r="A208" s="1" t="s">
        <v>64</v>
      </c>
      <c r="B208" s="1" t="s">
        <v>16</v>
      </c>
      <c r="C208" s="1" t="s">
        <v>68</v>
      </c>
      <c r="D208" s="1" t="s">
        <v>41</v>
      </c>
      <c r="E208" s="1">
        <v>662.92009900000005</v>
      </c>
      <c r="F208" s="1">
        <v>154</v>
      </c>
      <c r="G208" s="1">
        <v>6469</v>
      </c>
      <c r="H208" s="1">
        <v>4.3046759999999997</v>
      </c>
      <c r="I208" s="1">
        <v>2.3806000000000001E-2</v>
      </c>
      <c r="J208" s="1">
        <v>102.47644099999999</v>
      </c>
      <c r="K208" s="1">
        <v>0</v>
      </c>
      <c r="L208" s="1">
        <v>0</v>
      </c>
      <c r="M208" s="1" t="s">
        <v>31</v>
      </c>
      <c r="N208" s="1" t="s">
        <v>31</v>
      </c>
      <c r="O208" s="1" t="s">
        <v>31</v>
      </c>
      <c r="P208" s="2">
        <f t="shared" si="6"/>
        <v>0</v>
      </c>
      <c r="Q208" s="2">
        <f t="shared" si="7"/>
        <v>0</v>
      </c>
    </row>
    <row r="209" spans="1:17" ht="12.5" x14ac:dyDescent="0.25">
      <c r="A209" s="1" t="s">
        <v>45</v>
      </c>
      <c r="B209" s="1" t="s">
        <v>16</v>
      </c>
      <c r="C209" s="1" t="s">
        <v>68</v>
      </c>
      <c r="D209" s="1" t="s">
        <v>41</v>
      </c>
      <c r="E209" s="1">
        <v>1409.0982140000001</v>
      </c>
      <c r="F209" s="1">
        <v>215</v>
      </c>
      <c r="G209" s="1">
        <v>11507</v>
      </c>
      <c r="H209" s="1">
        <v>6.5539449999999997</v>
      </c>
      <c r="I209" s="1">
        <v>1.8683999999999999E-2</v>
      </c>
      <c r="J209" s="1">
        <v>122.455741</v>
      </c>
      <c r="K209" s="1">
        <v>0</v>
      </c>
      <c r="L209" s="1">
        <v>0</v>
      </c>
      <c r="M209" s="1" t="s">
        <v>31</v>
      </c>
      <c r="N209" s="1" t="s">
        <v>31</v>
      </c>
      <c r="O209" s="1" t="s">
        <v>31</v>
      </c>
      <c r="P209" s="2">
        <f t="shared" si="6"/>
        <v>0</v>
      </c>
      <c r="Q209" s="2">
        <f t="shared" si="7"/>
        <v>0</v>
      </c>
    </row>
    <row r="210" spans="1:17" ht="12.5" x14ac:dyDescent="0.25">
      <c r="A210" s="1" t="s">
        <v>48</v>
      </c>
      <c r="B210" s="1" t="s">
        <v>16</v>
      </c>
      <c r="C210" s="1" t="s">
        <v>68</v>
      </c>
      <c r="D210" s="1" t="s">
        <v>41</v>
      </c>
      <c r="E210" s="1">
        <v>1027.385589</v>
      </c>
      <c r="F210" s="1">
        <v>159</v>
      </c>
      <c r="G210" s="1">
        <v>7461</v>
      </c>
      <c r="H210" s="1">
        <v>6.4615450000000001</v>
      </c>
      <c r="I210" s="1">
        <v>2.1311E-2</v>
      </c>
      <c r="J210" s="1">
        <v>137.70078899999999</v>
      </c>
      <c r="K210" s="1">
        <v>0</v>
      </c>
      <c r="L210" s="1">
        <v>0</v>
      </c>
      <c r="M210" s="1" t="s">
        <v>31</v>
      </c>
      <c r="N210" s="1" t="s">
        <v>31</v>
      </c>
      <c r="O210" s="1" t="s">
        <v>31</v>
      </c>
      <c r="P210" s="2">
        <f t="shared" si="6"/>
        <v>0</v>
      </c>
      <c r="Q210" s="2">
        <f t="shared" si="7"/>
        <v>0</v>
      </c>
    </row>
    <row r="211" spans="1:17" ht="12.5" x14ac:dyDescent="0.25">
      <c r="A211" s="1" t="s">
        <v>49</v>
      </c>
      <c r="B211" s="1" t="s">
        <v>16</v>
      </c>
      <c r="C211" s="1" t="s">
        <v>68</v>
      </c>
      <c r="D211" s="1" t="s">
        <v>41</v>
      </c>
      <c r="E211" s="1">
        <v>1006.0375739999999</v>
      </c>
      <c r="F211" s="1">
        <v>252</v>
      </c>
      <c r="G211" s="1">
        <v>12025</v>
      </c>
      <c r="H211" s="1">
        <v>3.992213</v>
      </c>
      <c r="I211" s="1">
        <v>2.0955999999999999E-2</v>
      </c>
      <c r="J211" s="1">
        <v>83.662167999999994</v>
      </c>
      <c r="K211" s="1">
        <v>1</v>
      </c>
      <c r="L211" s="1">
        <v>2805</v>
      </c>
      <c r="M211" s="1" t="s">
        <v>31</v>
      </c>
      <c r="N211" s="1" t="s">
        <v>31</v>
      </c>
      <c r="O211" s="1" t="s">
        <v>31</v>
      </c>
      <c r="P211" s="2">
        <f t="shared" si="6"/>
        <v>3.5650623885918003E-4</v>
      </c>
      <c r="Q211" s="2">
        <f t="shared" si="7"/>
        <v>1006.0375739999999</v>
      </c>
    </row>
    <row r="212" spans="1:17" ht="12.5" x14ac:dyDescent="0.25">
      <c r="A212" s="1" t="s">
        <v>50</v>
      </c>
      <c r="B212" s="1" t="s">
        <v>16</v>
      </c>
      <c r="C212" s="1" t="s">
        <v>68</v>
      </c>
      <c r="D212" s="1" t="s">
        <v>41</v>
      </c>
      <c r="E212" s="1">
        <v>968.26027799999997</v>
      </c>
      <c r="F212" s="1">
        <v>230</v>
      </c>
      <c r="G212" s="1">
        <v>11866</v>
      </c>
      <c r="H212" s="1">
        <v>4.2098269999999998</v>
      </c>
      <c r="I212" s="1">
        <v>1.9383000000000001E-2</v>
      </c>
      <c r="J212" s="1">
        <v>81.599551000000005</v>
      </c>
      <c r="K212" s="1">
        <v>0</v>
      </c>
      <c r="L212" s="1">
        <v>0</v>
      </c>
      <c r="M212" s="1" t="s">
        <v>31</v>
      </c>
      <c r="N212" s="1" t="s">
        <v>31</v>
      </c>
      <c r="O212" s="1" t="s">
        <v>31</v>
      </c>
      <c r="P212" s="2">
        <f t="shared" si="6"/>
        <v>0</v>
      </c>
      <c r="Q212" s="2">
        <f t="shared" si="7"/>
        <v>0</v>
      </c>
    </row>
    <row r="213" spans="1:17" ht="12.5" x14ac:dyDescent="0.25">
      <c r="A213" s="1" t="s">
        <v>51</v>
      </c>
      <c r="B213" s="1" t="s">
        <v>16</v>
      </c>
      <c r="C213" s="1" t="s">
        <v>68</v>
      </c>
      <c r="D213" s="1" t="s">
        <v>41</v>
      </c>
      <c r="E213" s="1">
        <v>448.51519200000001</v>
      </c>
      <c r="F213" s="1">
        <v>54</v>
      </c>
      <c r="G213" s="1">
        <v>2504</v>
      </c>
      <c r="H213" s="1">
        <v>8.3058370000000004</v>
      </c>
      <c r="I213" s="1">
        <v>2.1565000000000001E-2</v>
      </c>
      <c r="J213" s="1">
        <v>179.11948599999999</v>
      </c>
      <c r="K213" s="1">
        <v>0</v>
      </c>
      <c r="L213" s="1">
        <v>0</v>
      </c>
      <c r="M213" s="1" t="s">
        <v>31</v>
      </c>
      <c r="N213" s="1" t="s">
        <v>31</v>
      </c>
      <c r="O213" s="1" t="s">
        <v>31</v>
      </c>
      <c r="P213" s="2">
        <f t="shared" si="6"/>
        <v>0</v>
      </c>
      <c r="Q213" s="2">
        <f t="shared" si="7"/>
        <v>0</v>
      </c>
    </row>
    <row r="214" spans="1:17" ht="12.5" x14ac:dyDescent="0.25">
      <c r="A214" s="1" t="s">
        <v>65</v>
      </c>
      <c r="B214" s="1" t="s">
        <v>16</v>
      </c>
      <c r="C214" s="1" t="s">
        <v>68</v>
      </c>
      <c r="D214" s="1" t="s">
        <v>41</v>
      </c>
      <c r="E214" s="1">
        <v>864.65680499999996</v>
      </c>
      <c r="F214" s="1">
        <v>155</v>
      </c>
      <c r="G214" s="1">
        <v>9031</v>
      </c>
      <c r="H214" s="1">
        <v>5.5784310000000001</v>
      </c>
      <c r="I214" s="1">
        <v>1.7163000000000001E-2</v>
      </c>
      <c r="J214" s="1">
        <v>95.743195999999998</v>
      </c>
      <c r="K214" s="1">
        <v>0</v>
      </c>
      <c r="L214" s="1">
        <v>0</v>
      </c>
      <c r="M214" s="1" t="s">
        <v>31</v>
      </c>
      <c r="N214" s="1" t="s">
        <v>31</v>
      </c>
      <c r="O214" s="1" t="s">
        <v>31</v>
      </c>
      <c r="P214" s="2">
        <f t="shared" si="6"/>
        <v>0</v>
      </c>
      <c r="Q214" s="2">
        <f t="shared" si="7"/>
        <v>0</v>
      </c>
    </row>
    <row r="215" spans="1:17" ht="12.5" x14ac:dyDescent="0.25">
      <c r="A215" s="1" t="s">
        <v>52</v>
      </c>
      <c r="B215" s="1" t="s">
        <v>16</v>
      </c>
      <c r="C215" s="1" t="s">
        <v>68</v>
      </c>
      <c r="D215" s="1" t="s">
        <v>41</v>
      </c>
      <c r="E215" s="1">
        <v>1665.3802250000001</v>
      </c>
      <c r="F215" s="1">
        <v>235</v>
      </c>
      <c r="G215" s="1">
        <v>11692</v>
      </c>
      <c r="H215" s="1">
        <v>7.0867240000000002</v>
      </c>
      <c r="I215" s="1">
        <v>2.0098999999999999E-2</v>
      </c>
      <c r="J215" s="1">
        <v>142.43758299999999</v>
      </c>
      <c r="K215" s="1">
        <v>0</v>
      </c>
      <c r="L215" s="1">
        <v>0</v>
      </c>
      <c r="M215" s="1" t="s">
        <v>31</v>
      </c>
      <c r="N215" s="1" t="s">
        <v>31</v>
      </c>
      <c r="O215" s="1" t="s">
        <v>31</v>
      </c>
      <c r="P215" s="2">
        <f t="shared" si="6"/>
        <v>0</v>
      </c>
      <c r="Q215" s="2">
        <f t="shared" si="7"/>
        <v>0</v>
      </c>
    </row>
    <row r="216" spans="1:17" ht="12.5" x14ac:dyDescent="0.25">
      <c r="A216" s="1" t="s">
        <v>53</v>
      </c>
      <c r="B216" s="1" t="s">
        <v>16</v>
      </c>
      <c r="C216" s="1" t="s">
        <v>68</v>
      </c>
      <c r="D216" s="1" t="s">
        <v>41</v>
      </c>
      <c r="E216" s="1">
        <v>920.52107799999999</v>
      </c>
      <c r="F216" s="1">
        <v>235</v>
      </c>
      <c r="G216" s="1">
        <v>12367</v>
      </c>
      <c r="H216" s="1">
        <v>3.9171109999999998</v>
      </c>
      <c r="I216" s="1">
        <v>1.9002000000000002E-2</v>
      </c>
      <c r="J216" s="1">
        <v>74.433660000000003</v>
      </c>
      <c r="K216" s="1">
        <v>1.33</v>
      </c>
      <c r="L216" s="1">
        <v>3472.85808</v>
      </c>
      <c r="M216" s="1" t="s">
        <v>31</v>
      </c>
      <c r="N216" s="1" t="s">
        <v>31</v>
      </c>
      <c r="O216" s="1" t="s">
        <v>31</v>
      </c>
      <c r="P216" s="2">
        <f t="shared" si="6"/>
        <v>3.8296986786168935E-4</v>
      </c>
      <c r="Q216" s="2">
        <f t="shared" si="7"/>
        <v>692.12111127819549</v>
      </c>
    </row>
    <row r="217" spans="1:17" ht="12.5" x14ac:dyDescent="0.25">
      <c r="A217" s="1" t="s">
        <v>54</v>
      </c>
      <c r="B217" s="1" t="s">
        <v>16</v>
      </c>
      <c r="C217" s="1" t="s">
        <v>68</v>
      </c>
      <c r="D217" s="1" t="s">
        <v>41</v>
      </c>
      <c r="E217" s="1">
        <v>953.61861199999998</v>
      </c>
      <c r="F217" s="1">
        <v>202</v>
      </c>
      <c r="G217" s="1">
        <v>12258</v>
      </c>
      <c r="H217" s="1">
        <v>4.7208839999999999</v>
      </c>
      <c r="I217" s="1">
        <v>1.6479000000000001E-2</v>
      </c>
      <c r="J217" s="1">
        <v>77.795612000000006</v>
      </c>
      <c r="K217" s="1">
        <v>0</v>
      </c>
      <c r="L217" s="1">
        <v>0</v>
      </c>
      <c r="M217" s="1" t="s">
        <v>31</v>
      </c>
      <c r="N217" s="1" t="s">
        <v>31</v>
      </c>
      <c r="O217" s="1" t="s">
        <v>31</v>
      </c>
      <c r="P217" s="2">
        <f t="shared" si="6"/>
        <v>0</v>
      </c>
      <c r="Q217" s="2">
        <f t="shared" si="7"/>
        <v>0</v>
      </c>
    </row>
    <row r="218" spans="1:17" ht="12.5" x14ac:dyDescent="0.25">
      <c r="A218" s="1" t="s">
        <v>55</v>
      </c>
      <c r="B218" s="1" t="s">
        <v>16</v>
      </c>
      <c r="C218" s="1" t="s">
        <v>68</v>
      </c>
      <c r="D218" s="1" t="s">
        <v>41</v>
      </c>
      <c r="E218" s="1">
        <v>1014.357696</v>
      </c>
      <c r="F218" s="1">
        <v>249</v>
      </c>
      <c r="G218" s="1">
        <v>12876</v>
      </c>
      <c r="H218" s="1">
        <v>4.0737259999999997</v>
      </c>
      <c r="I218" s="1">
        <v>1.9338000000000001E-2</v>
      </c>
      <c r="J218" s="1">
        <v>78.778944999999993</v>
      </c>
      <c r="K218" s="1">
        <v>0</v>
      </c>
      <c r="L218" s="1">
        <v>0</v>
      </c>
      <c r="M218" s="1" t="s">
        <v>31</v>
      </c>
      <c r="N218" s="1" t="s">
        <v>31</v>
      </c>
      <c r="O218" s="1" t="s">
        <v>31</v>
      </c>
      <c r="P218" s="2">
        <f t="shared" si="6"/>
        <v>0</v>
      </c>
      <c r="Q218" s="2">
        <f t="shared" si="7"/>
        <v>0</v>
      </c>
    </row>
    <row r="219" spans="1:17" ht="12.5" x14ac:dyDescent="0.25">
      <c r="A219" s="1" t="s">
        <v>64</v>
      </c>
      <c r="B219" s="1" t="s">
        <v>16</v>
      </c>
      <c r="C219" s="1" t="s">
        <v>46</v>
      </c>
      <c r="D219" s="1" t="s">
        <v>41</v>
      </c>
      <c r="E219" s="1">
        <v>1.25</v>
      </c>
      <c r="F219" s="1">
        <v>1</v>
      </c>
      <c r="G219" s="1">
        <v>14</v>
      </c>
      <c r="H219" s="1">
        <v>1.25</v>
      </c>
      <c r="I219" s="1">
        <v>7.1429000000000006E-2</v>
      </c>
      <c r="J219" s="1">
        <v>89.285713999999999</v>
      </c>
      <c r="K219" s="1">
        <v>0</v>
      </c>
      <c r="L219" s="1">
        <v>0</v>
      </c>
      <c r="M219" s="1" t="s">
        <v>19</v>
      </c>
      <c r="N219" s="1" t="s">
        <v>69</v>
      </c>
      <c r="O219" s="1" t="s">
        <v>69</v>
      </c>
      <c r="P219" s="2">
        <f t="shared" si="6"/>
        <v>0</v>
      </c>
      <c r="Q219" s="2">
        <f t="shared" si="7"/>
        <v>0</v>
      </c>
    </row>
    <row r="220" spans="1:17" ht="12.5" x14ac:dyDescent="0.25">
      <c r="A220" s="1" t="s">
        <v>45</v>
      </c>
      <c r="B220" s="1" t="s">
        <v>16</v>
      </c>
      <c r="C220" s="1" t="s">
        <v>46</v>
      </c>
      <c r="D220" s="1" t="s">
        <v>41</v>
      </c>
      <c r="E220" s="1">
        <v>2.84</v>
      </c>
      <c r="F220" s="1">
        <v>3</v>
      </c>
      <c r="G220" s="1">
        <v>6</v>
      </c>
      <c r="H220" s="1">
        <v>0.94666700000000004</v>
      </c>
      <c r="I220" s="1">
        <v>0.5</v>
      </c>
      <c r="J220" s="1">
        <v>473.33333299999998</v>
      </c>
      <c r="K220" s="1">
        <v>0</v>
      </c>
      <c r="L220" s="1">
        <v>0</v>
      </c>
      <c r="M220" s="1" t="s">
        <v>19</v>
      </c>
      <c r="N220" s="1" t="s">
        <v>69</v>
      </c>
      <c r="O220" s="1" t="s">
        <v>69</v>
      </c>
      <c r="P220" s="2">
        <f t="shared" si="6"/>
        <v>0</v>
      </c>
      <c r="Q220" s="2">
        <f t="shared" si="7"/>
        <v>0</v>
      </c>
    </row>
    <row r="221" spans="1:17" ht="12.5" x14ac:dyDescent="0.25">
      <c r="A221" s="1" t="s">
        <v>48</v>
      </c>
      <c r="B221" s="1" t="s">
        <v>16</v>
      </c>
      <c r="C221" s="1" t="s">
        <v>46</v>
      </c>
      <c r="D221" s="1" t="s">
        <v>41</v>
      </c>
      <c r="E221" s="1">
        <v>23.73</v>
      </c>
      <c r="F221" s="1">
        <v>2</v>
      </c>
      <c r="G221" s="1">
        <v>8</v>
      </c>
      <c r="H221" s="1">
        <v>11.865</v>
      </c>
      <c r="I221" s="1">
        <v>0.25</v>
      </c>
      <c r="J221" s="1">
        <v>2966.25</v>
      </c>
      <c r="K221" s="1">
        <v>0</v>
      </c>
      <c r="L221" s="1">
        <v>0</v>
      </c>
      <c r="M221" s="1" t="s">
        <v>19</v>
      </c>
      <c r="N221" s="1" t="s">
        <v>69</v>
      </c>
      <c r="O221" s="1" t="s">
        <v>69</v>
      </c>
      <c r="P221" s="2">
        <f t="shared" si="6"/>
        <v>0</v>
      </c>
      <c r="Q221" s="2">
        <f t="shared" si="7"/>
        <v>0</v>
      </c>
    </row>
    <row r="222" spans="1:17" ht="12.5" x14ac:dyDescent="0.25">
      <c r="A222" s="1" t="s">
        <v>49</v>
      </c>
      <c r="B222" s="1" t="s">
        <v>16</v>
      </c>
      <c r="C222" s="1" t="s">
        <v>46</v>
      </c>
      <c r="D222" s="1" t="s">
        <v>41</v>
      </c>
      <c r="E222" s="1">
        <v>17.54</v>
      </c>
      <c r="F222" s="1">
        <v>1</v>
      </c>
      <c r="G222" s="1">
        <v>4</v>
      </c>
      <c r="H222" s="1">
        <v>17.54</v>
      </c>
      <c r="I222" s="1">
        <v>0.25</v>
      </c>
      <c r="J222" s="1">
        <v>4385</v>
      </c>
      <c r="K222" s="1">
        <v>0</v>
      </c>
      <c r="L222" s="1">
        <v>0</v>
      </c>
      <c r="M222" s="1" t="s">
        <v>19</v>
      </c>
      <c r="N222" s="1" t="s">
        <v>69</v>
      </c>
      <c r="O222" s="1" t="s">
        <v>69</v>
      </c>
      <c r="P222" s="2">
        <f t="shared" si="6"/>
        <v>0</v>
      </c>
      <c r="Q222" s="2">
        <f t="shared" si="7"/>
        <v>0</v>
      </c>
    </row>
    <row r="223" spans="1:17" ht="12.5" x14ac:dyDescent="0.25">
      <c r="A223" s="1" t="s">
        <v>50</v>
      </c>
      <c r="B223" s="1" t="s">
        <v>16</v>
      </c>
      <c r="C223" s="1" t="s">
        <v>46</v>
      </c>
      <c r="D223" s="1" t="s">
        <v>41</v>
      </c>
      <c r="E223" s="1">
        <v>1292.9983810000001</v>
      </c>
      <c r="F223" s="1">
        <v>5</v>
      </c>
      <c r="G223" s="1">
        <v>19</v>
      </c>
      <c r="H223" s="1">
        <v>258.59967599999999</v>
      </c>
      <c r="I223" s="1">
        <v>0.263158</v>
      </c>
      <c r="J223" s="1">
        <v>68052.546369999996</v>
      </c>
      <c r="K223" s="1">
        <v>0</v>
      </c>
      <c r="L223" s="1">
        <v>0</v>
      </c>
      <c r="M223" s="1" t="s">
        <v>19</v>
      </c>
      <c r="N223" s="1" t="s">
        <v>69</v>
      </c>
      <c r="O223" s="1" t="s">
        <v>69</v>
      </c>
      <c r="P223" s="2">
        <f t="shared" si="6"/>
        <v>0</v>
      </c>
      <c r="Q223" s="2">
        <f t="shared" si="7"/>
        <v>0</v>
      </c>
    </row>
    <row r="224" spans="1:17" ht="12.5" x14ac:dyDescent="0.25">
      <c r="A224" s="1" t="s">
        <v>51</v>
      </c>
      <c r="B224" s="1" t="s">
        <v>16</v>
      </c>
      <c r="C224" s="1" t="s">
        <v>46</v>
      </c>
      <c r="D224" s="1" t="s">
        <v>41</v>
      </c>
      <c r="E224" s="1">
        <v>2.5</v>
      </c>
      <c r="F224" s="1">
        <v>2</v>
      </c>
      <c r="G224" s="1">
        <v>4</v>
      </c>
      <c r="H224" s="1">
        <v>1.25</v>
      </c>
      <c r="I224" s="1">
        <v>0.5</v>
      </c>
      <c r="J224" s="1">
        <v>625</v>
      </c>
      <c r="K224" s="1">
        <v>0</v>
      </c>
      <c r="L224" s="1">
        <v>0</v>
      </c>
      <c r="M224" s="1" t="s">
        <v>19</v>
      </c>
      <c r="N224" s="1" t="s">
        <v>69</v>
      </c>
      <c r="O224" s="1" t="s">
        <v>69</v>
      </c>
      <c r="P224" s="2">
        <f t="shared" si="6"/>
        <v>0</v>
      </c>
      <c r="Q224" s="2">
        <f t="shared" si="7"/>
        <v>0</v>
      </c>
    </row>
    <row r="225" spans="1:17" ht="12.5" x14ac:dyDescent="0.25">
      <c r="A225" s="1" t="s">
        <v>65</v>
      </c>
      <c r="B225" s="1" t="s">
        <v>16</v>
      </c>
      <c r="C225" s="1" t="s">
        <v>46</v>
      </c>
      <c r="D225" s="1" t="s">
        <v>41</v>
      </c>
      <c r="E225" s="1">
        <v>228.22</v>
      </c>
      <c r="F225" s="1">
        <v>2</v>
      </c>
      <c r="G225" s="1">
        <v>6</v>
      </c>
      <c r="H225" s="1">
        <v>114.11</v>
      </c>
      <c r="I225" s="1">
        <v>0.33333299999999999</v>
      </c>
      <c r="J225" s="1">
        <v>38036.666669999999</v>
      </c>
      <c r="K225" s="1">
        <v>0</v>
      </c>
      <c r="L225" s="1">
        <v>0</v>
      </c>
      <c r="M225" s="1" t="s">
        <v>19</v>
      </c>
      <c r="N225" s="1" t="s">
        <v>69</v>
      </c>
      <c r="O225" s="1" t="s">
        <v>69</v>
      </c>
      <c r="P225" s="2">
        <f t="shared" si="6"/>
        <v>0</v>
      </c>
      <c r="Q225" s="2">
        <f t="shared" si="7"/>
        <v>0</v>
      </c>
    </row>
    <row r="226" spans="1:17" ht="12.5" x14ac:dyDescent="0.25">
      <c r="A226" s="1" t="s">
        <v>53</v>
      </c>
      <c r="B226" s="1" t="s">
        <v>16</v>
      </c>
      <c r="C226" s="1" t="s">
        <v>46</v>
      </c>
      <c r="D226" s="1" t="s">
        <v>41</v>
      </c>
      <c r="E226" s="1">
        <v>163.26</v>
      </c>
      <c r="F226" s="1">
        <v>3</v>
      </c>
      <c r="G226" s="1">
        <v>6</v>
      </c>
      <c r="H226" s="1">
        <v>54.42</v>
      </c>
      <c r="I226" s="1">
        <v>0.5</v>
      </c>
      <c r="J226" s="1">
        <v>27210</v>
      </c>
      <c r="K226" s="1">
        <v>0</v>
      </c>
      <c r="L226" s="1">
        <v>0</v>
      </c>
      <c r="M226" s="1" t="s">
        <v>19</v>
      </c>
      <c r="N226" s="1" t="s">
        <v>69</v>
      </c>
      <c r="O226" s="1" t="s">
        <v>69</v>
      </c>
      <c r="P226" s="2">
        <f t="shared" si="6"/>
        <v>0</v>
      </c>
      <c r="Q226" s="2">
        <f t="shared" si="7"/>
        <v>0</v>
      </c>
    </row>
    <row r="227" spans="1:17" ht="12.5" x14ac:dyDescent="0.25">
      <c r="A227" s="1" t="s">
        <v>54</v>
      </c>
      <c r="B227" s="1" t="s">
        <v>16</v>
      </c>
      <c r="C227" s="1" t="s">
        <v>46</v>
      </c>
      <c r="D227" s="1" t="s">
        <v>41</v>
      </c>
      <c r="E227" s="1">
        <v>67.17</v>
      </c>
      <c r="F227" s="1">
        <v>2</v>
      </c>
      <c r="G227" s="1">
        <v>7</v>
      </c>
      <c r="H227" s="1">
        <v>33.585000000000001</v>
      </c>
      <c r="I227" s="1">
        <v>0.28571400000000002</v>
      </c>
      <c r="J227" s="1">
        <v>9595.7142860000004</v>
      </c>
      <c r="K227" s="1">
        <v>0</v>
      </c>
      <c r="L227" s="1">
        <v>0</v>
      </c>
      <c r="M227" s="1" t="s">
        <v>19</v>
      </c>
      <c r="N227" s="1" t="s">
        <v>69</v>
      </c>
      <c r="O227" s="1" t="s">
        <v>69</v>
      </c>
      <c r="P227" s="2">
        <f t="shared" si="6"/>
        <v>0</v>
      </c>
      <c r="Q227" s="2">
        <f t="shared" si="7"/>
        <v>0</v>
      </c>
    </row>
    <row r="228" spans="1:17" ht="12.5" x14ac:dyDescent="0.25">
      <c r="A228" s="1" t="s">
        <v>55</v>
      </c>
      <c r="B228" s="1" t="s">
        <v>16</v>
      </c>
      <c r="C228" s="1" t="s">
        <v>46</v>
      </c>
      <c r="D228" s="1" t="s">
        <v>41</v>
      </c>
      <c r="E228" s="1">
        <v>1.26</v>
      </c>
      <c r="F228" s="1">
        <v>1</v>
      </c>
      <c r="G228" s="1">
        <v>5</v>
      </c>
      <c r="H228" s="1">
        <v>1.26</v>
      </c>
      <c r="I228" s="1">
        <v>0.2</v>
      </c>
      <c r="J228" s="1">
        <v>252</v>
      </c>
      <c r="K228" s="1">
        <v>0</v>
      </c>
      <c r="L228" s="1">
        <v>0</v>
      </c>
      <c r="M228" s="1" t="s">
        <v>19</v>
      </c>
      <c r="N228" s="1" t="s">
        <v>69</v>
      </c>
      <c r="O228" s="1" t="s">
        <v>69</v>
      </c>
      <c r="P228" s="2">
        <f t="shared" si="6"/>
        <v>0</v>
      </c>
      <c r="Q228" s="2">
        <f t="shared" si="7"/>
        <v>0</v>
      </c>
    </row>
    <row r="229" spans="1:17" ht="12.5" x14ac:dyDescent="0.25">
      <c r="A229" s="1" t="s">
        <v>64</v>
      </c>
      <c r="B229" s="1" t="s">
        <v>16</v>
      </c>
      <c r="C229" s="1" t="s">
        <v>56</v>
      </c>
      <c r="D229" s="1" t="s">
        <v>41</v>
      </c>
      <c r="E229" s="1">
        <v>4.8099999999999996</v>
      </c>
      <c r="F229" s="1">
        <v>1</v>
      </c>
      <c r="G229" s="1">
        <v>74</v>
      </c>
      <c r="H229" s="1">
        <v>4.8099999999999996</v>
      </c>
      <c r="I229" s="1">
        <v>1.3514E-2</v>
      </c>
      <c r="J229" s="1">
        <v>65</v>
      </c>
      <c r="K229" s="1">
        <v>0</v>
      </c>
      <c r="L229" s="1">
        <v>0</v>
      </c>
      <c r="M229" s="1" t="s">
        <v>19</v>
      </c>
      <c r="N229" s="1" t="s">
        <v>69</v>
      </c>
      <c r="O229" s="1" t="s">
        <v>69</v>
      </c>
      <c r="P229" s="2">
        <f t="shared" si="6"/>
        <v>0</v>
      </c>
      <c r="Q229" s="2">
        <f t="shared" si="7"/>
        <v>0</v>
      </c>
    </row>
    <row r="230" spans="1:17" ht="12.5" x14ac:dyDescent="0.25">
      <c r="A230" s="1" t="s">
        <v>45</v>
      </c>
      <c r="B230" s="1" t="s">
        <v>16</v>
      </c>
      <c r="C230" s="1" t="s">
        <v>56</v>
      </c>
      <c r="D230" s="1" t="s">
        <v>41</v>
      </c>
      <c r="E230" s="1">
        <v>44.53</v>
      </c>
      <c r="F230" s="1">
        <v>4</v>
      </c>
      <c r="G230" s="1">
        <v>382</v>
      </c>
      <c r="H230" s="1">
        <v>11.1325</v>
      </c>
      <c r="I230" s="1">
        <v>1.0470999999999999E-2</v>
      </c>
      <c r="J230" s="1">
        <v>116.57068099999999</v>
      </c>
      <c r="K230" s="1">
        <v>0</v>
      </c>
      <c r="L230" s="1">
        <v>0</v>
      </c>
      <c r="M230" s="1" t="s">
        <v>19</v>
      </c>
      <c r="N230" s="1" t="s">
        <v>69</v>
      </c>
      <c r="O230" s="1" t="s">
        <v>69</v>
      </c>
      <c r="P230" s="2">
        <f t="shared" si="6"/>
        <v>0</v>
      </c>
      <c r="Q230" s="2">
        <f t="shared" si="7"/>
        <v>0</v>
      </c>
    </row>
    <row r="231" spans="1:17" ht="12.5" x14ac:dyDescent="0.25">
      <c r="A231" s="1" t="s">
        <v>48</v>
      </c>
      <c r="B231" s="1" t="s">
        <v>16</v>
      </c>
      <c r="C231" s="1" t="s">
        <v>56</v>
      </c>
      <c r="D231" s="1" t="s">
        <v>41</v>
      </c>
      <c r="E231" s="1">
        <v>180.89191199999999</v>
      </c>
      <c r="F231" s="1">
        <v>6</v>
      </c>
      <c r="G231" s="1">
        <v>370</v>
      </c>
      <c r="H231" s="1">
        <v>30.148651999999998</v>
      </c>
      <c r="I231" s="1">
        <v>1.6216000000000001E-2</v>
      </c>
      <c r="J231" s="1">
        <v>488.89705900000001</v>
      </c>
      <c r="K231" s="1">
        <v>0</v>
      </c>
      <c r="L231" s="1">
        <v>0</v>
      </c>
      <c r="M231" s="1" t="s">
        <v>19</v>
      </c>
      <c r="N231" s="1" t="s">
        <v>69</v>
      </c>
      <c r="O231" s="1" t="s">
        <v>69</v>
      </c>
      <c r="P231" s="2">
        <f t="shared" si="6"/>
        <v>0</v>
      </c>
      <c r="Q231" s="2">
        <f t="shared" si="7"/>
        <v>0</v>
      </c>
    </row>
    <row r="232" spans="1:17" ht="12.5" x14ac:dyDescent="0.25">
      <c r="A232" s="1" t="s">
        <v>49</v>
      </c>
      <c r="B232" s="1" t="s">
        <v>16</v>
      </c>
      <c r="C232" s="1" t="s">
        <v>56</v>
      </c>
      <c r="D232" s="1" t="s">
        <v>41</v>
      </c>
      <c r="E232" s="1">
        <v>247.1936</v>
      </c>
      <c r="F232" s="1">
        <v>6</v>
      </c>
      <c r="G232" s="1">
        <v>393</v>
      </c>
      <c r="H232" s="1">
        <v>41.198932999999997</v>
      </c>
      <c r="I232" s="1">
        <v>1.5266999999999999E-2</v>
      </c>
      <c r="J232" s="1">
        <v>628.99134900000001</v>
      </c>
      <c r="K232" s="1">
        <v>0</v>
      </c>
      <c r="L232" s="1">
        <v>0</v>
      </c>
      <c r="M232" s="1" t="s">
        <v>19</v>
      </c>
      <c r="N232" s="1" t="s">
        <v>69</v>
      </c>
      <c r="O232" s="1" t="s">
        <v>69</v>
      </c>
      <c r="P232" s="2">
        <f t="shared" si="6"/>
        <v>0</v>
      </c>
      <c r="Q232" s="2">
        <f t="shared" si="7"/>
        <v>0</v>
      </c>
    </row>
    <row r="233" spans="1:17" ht="12.5" x14ac:dyDescent="0.25">
      <c r="A233" s="1" t="s">
        <v>50</v>
      </c>
      <c r="B233" s="1" t="s">
        <v>16</v>
      </c>
      <c r="C233" s="1" t="s">
        <v>56</v>
      </c>
      <c r="D233" s="1" t="s">
        <v>41</v>
      </c>
      <c r="E233" s="1">
        <v>97.31</v>
      </c>
      <c r="F233" s="1">
        <v>2</v>
      </c>
      <c r="G233" s="1">
        <v>234</v>
      </c>
      <c r="H233" s="1">
        <v>48.655000000000001</v>
      </c>
      <c r="I233" s="1">
        <v>8.5470000000000008E-3</v>
      </c>
      <c r="J233" s="1">
        <v>415.85470099999998</v>
      </c>
      <c r="K233" s="1">
        <v>0</v>
      </c>
      <c r="L233" s="1">
        <v>0</v>
      </c>
      <c r="M233" s="1" t="s">
        <v>19</v>
      </c>
      <c r="N233" s="1" t="s">
        <v>69</v>
      </c>
      <c r="O233" s="1" t="s">
        <v>69</v>
      </c>
      <c r="P233" s="2">
        <f t="shared" si="6"/>
        <v>0</v>
      </c>
      <c r="Q233" s="2">
        <f t="shared" si="7"/>
        <v>0</v>
      </c>
    </row>
    <row r="234" spans="1:17" ht="12.5" x14ac:dyDescent="0.25">
      <c r="A234" s="1" t="s">
        <v>65</v>
      </c>
      <c r="B234" s="1" t="s">
        <v>16</v>
      </c>
      <c r="C234" s="1" t="s">
        <v>56</v>
      </c>
      <c r="D234" s="1" t="s">
        <v>41</v>
      </c>
      <c r="E234" s="1">
        <v>41.53</v>
      </c>
      <c r="F234" s="1">
        <v>1</v>
      </c>
      <c r="G234" s="1">
        <v>164</v>
      </c>
      <c r="H234" s="1">
        <v>41.53</v>
      </c>
      <c r="I234" s="1">
        <v>6.0980000000000001E-3</v>
      </c>
      <c r="J234" s="1">
        <v>253.231707</v>
      </c>
      <c r="K234" s="1">
        <v>0</v>
      </c>
      <c r="L234" s="1">
        <v>0</v>
      </c>
      <c r="M234" s="1" t="s">
        <v>19</v>
      </c>
      <c r="N234" s="1" t="s">
        <v>69</v>
      </c>
      <c r="O234" s="1" t="s">
        <v>69</v>
      </c>
      <c r="P234" s="2">
        <f t="shared" si="6"/>
        <v>0</v>
      </c>
      <c r="Q234" s="2">
        <f t="shared" si="7"/>
        <v>0</v>
      </c>
    </row>
    <row r="235" spans="1:17" ht="12.5" x14ac:dyDescent="0.25">
      <c r="A235" s="1" t="s">
        <v>52</v>
      </c>
      <c r="B235" s="1" t="s">
        <v>16</v>
      </c>
      <c r="C235" s="1" t="s">
        <v>56</v>
      </c>
      <c r="D235" s="1" t="s">
        <v>41</v>
      </c>
      <c r="E235" s="1">
        <v>31.124379999999999</v>
      </c>
      <c r="F235" s="1">
        <v>2</v>
      </c>
      <c r="G235" s="1">
        <v>444</v>
      </c>
      <c r="H235" s="1">
        <v>15.562189999999999</v>
      </c>
      <c r="I235" s="1">
        <v>4.5050000000000003E-3</v>
      </c>
      <c r="J235" s="1">
        <v>70.099954999999994</v>
      </c>
      <c r="K235" s="1">
        <v>0</v>
      </c>
      <c r="L235" s="1">
        <v>0</v>
      </c>
      <c r="M235" s="1" t="s">
        <v>19</v>
      </c>
      <c r="N235" s="1" t="s">
        <v>69</v>
      </c>
      <c r="O235" s="1" t="s">
        <v>69</v>
      </c>
      <c r="P235" s="2">
        <f t="shared" si="6"/>
        <v>0</v>
      </c>
      <c r="Q235" s="2">
        <f t="shared" si="7"/>
        <v>0</v>
      </c>
    </row>
    <row r="236" spans="1:17" ht="12.5" x14ac:dyDescent="0.25">
      <c r="A236" s="1" t="s">
        <v>53</v>
      </c>
      <c r="B236" s="1" t="s">
        <v>16</v>
      </c>
      <c r="C236" s="1" t="s">
        <v>56</v>
      </c>
      <c r="D236" s="1" t="s">
        <v>41</v>
      </c>
      <c r="E236" s="1">
        <v>53.940550000000002</v>
      </c>
      <c r="F236" s="1">
        <v>4</v>
      </c>
      <c r="G236" s="1">
        <v>365</v>
      </c>
      <c r="H236" s="1">
        <v>13.485137999999999</v>
      </c>
      <c r="I236" s="1">
        <v>1.0959E-2</v>
      </c>
      <c r="J236" s="1">
        <v>147.782329</v>
      </c>
      <c r="K236" s="1">
        <v>0</v>
      </c>
      <c r="L236" s="1">
        <v>0</v>
      </c>
      <c r="M236" s="1" t="s">
        <v>19</v>
      </c>
      <c r="N236" s="1" t="s">
        <v>69</v>
      </c>
      <c r="O236" s="1" t="s">
        <v>69</v>
      </c>
      <c r="P236" s="2">
        <f t="shared" si="6"/>
        <v>0</v>
      </c>
      <c r="Q236" s="2">
        <f t="shared" si="7"/>
        <v>0</v>
      </c>
    </row>
    <row r="237" spans="1:17" ht="12.5" x14ac:dyDescent="0.25">
      <c r="A237" s="1" t="s">
        <v>54</v>
      </c>
      <c r="B237" s="1" t="s">
        <v>16</v>
      </c>
      <c r="C237" s="1" t="s">
        <v>56</v>
      </c>
      <c r="D237" s="1" t="s">
        <v>41</v>
      </c>
      <c r="E237" s="1">
        <v>170.360117</v>
      </c>
      <c r="F237" s="1">
        <v>10</v>
      </c>
      <c r="G237" s="1">
        <v>688</v>
      </c>
      <c r="H237" s="1">
        <v>17.036011999999999</v>
      </c>
      <c r="I237" s="1">
        <v>1.4534999999999999E-2</v>
      </c>
      <c r="J237" s="1">
        <v>247.61644899999999</v>
      </c>
      <c r="K237" s="1">
        <v>0</v>
      </c>
      <c r="L237" s="1">
        <v>0</v>
      </c>
      <c r="M237" s="1" t="s">
        <v>19</v>
      </c>
      <c r="N237" s="1" t="s">
        <v>69</v>
      </c>
      <c r="O237" s="1" t="s">
        <v>69</v>
      </c>
      <c r="P237" s="2">
        <f t="shared" si="6"/>
        <v>0</v>
      </c>
      <c r="Q237" s="2">
        <f t="shared" si="7"/>
        <v>0</v>
      </c>
    </row>
    <row r="238" spans="1:17" ht="12.5" x14ac:dyDescent="0.25">
      <c r="A238" s="1" t="s">
        <v>55</v>
      </c>
      <c r="B238" s="1" t="s">
        <v>16</v>
      </c>
      <c r="C238" s="1" t="s">
        <v>56</v>
      </c>
      <c r="D238" s="1" t="s">
        <v>41</v>
      </c>
      <c r="E238" s="1">
        <v>90.35</v>
      </c>
      <c r="F238" s="1">
        <v>7</v>
      </c>
      <c r="G238" s="1">
        <v>606</v>
      </c>
      <c r="H238" s="1">
        <v>12.907143</v>
      </c>
      <c r="I238" s="1">
        <v>1.1551000000000001E-2</v>
      </c>
      <c r="J238" s="1">
        <v>149.092409</v>
      </c>
      <c r="K238" s="1">
        <v>0</v>
      </c>
      <c r="L238" s="1">
        <v>0</v>
      </c>
      <c r="M238" s="1" t="s">
        <v>19</v>
      </c>
      <c r="N238" s="1" t="s">
        <v>69</v>
      </c>
      <c r="O238" s="1" t="s">
        <v>69</v>
      </c>
      <c r="P238" s="2">
        <f t="shared" si="6"/>
        <v>0</v>
      </c>
      <c r="Q238" s="2">
        <f t="shared" si="7"/>
        <v>0</v>
      </c>
    </row>
    <row r="239" spans="1:17" ht="12.5" x14ac:dyDescent="0.25">
      <c r="A239" s="3">
        <v>46028</v>
      </c>
      <c r="B239" s="1" t="s">
        <v>16</v>
      </c>
      <c r="C239" s="1" t="s">
        <v>46</v>
      </c>
      <c r="D239" s="1" t="s">
        <v>41</v>
      </c>
      <c r="E239" s="1">
        <v>4.9008649999999996</v>
      </c>
      <c r="F239" s="1">
        <v>4</v>
      </c>
      <c r="G239" s="1">
        <v>11</v>
      </c>
      <c r="H239" s="1">
        <v>1.2252160000000001</v>
      </c>
      <c r="I239" s="1">
        <v>0.36363600000000001</v>
      </c>
      <c r="J239" s="1">
        <v>445.53318200000001</v>
      </c>
      <c r="K239" s="1">
        <v>0</v>
      </c>
      <c r="L239" s="1">
        <v>0</v>
      </c>
      <c r="M239" s="1" t="s">
        <v>43</v>
      </c>
      <c r="N239" s="1" t="s">
        <v>44</v>
      </c>
      <c r="O239" s="1" t="s">
        <v>44</v>
      </c>
      <c r="P239" s="2">
        <f t="shared" si="6"/>
        <v>0</v>
      </c>
      <c r="Q239" s="2">
        <f t="shared" si="7"/>
        <v>0</v>
      </c>
    </row>
    <row r="240" spans="1:17" ht="12.5" x14ac:dyDescent="0.25">
      <c r="A240" s="3">
        <v>46059</v>
      </c>
      <c r="B240" s="1" t="s">
        <v>16</v>
      </c>
      <c r="C240" s="1" t="s">
        <v>46</v>
      </c>
      <c r="D240" s="1" t="s">
        <v>41</v>
      </c>
      <c r="E240" s="1">
        <v>54.748553000000001</v>
      </c>
      <c r="F240" s="1">
        <v>3</v>
      </c>
      <c r="G240" s="1">
        <v>6</v>
      </c>
      <c r="H240" s="1">
        <v>18.249517999999998</v>
      </c>
      <c r="I240" s="1">
        <v>0.5</v>
      </c>
      <c r="J240" s="1">
        <v>9124.7588329999999</v>
      </c>
      <c r="K240" s="1">
        <v>0</v>
      </c>
      <c r="L240" s="1">
        <v>0</v>
      </c>
      <c r="M240" s="1" t="s">
        <v>43</v>
      </c>
      <c r="N240" s="1" t="s">
        <v>44</v>
      </c>
      <c r="O240" s="1" t="s">
        <v>44</v>
      </c>
      <c r="P240" s="2">
        <f t="shared" si="6"/>
        <v>0</v>
      </c>
      <c r="Q240" s="2">
        <f t="shared" si="7"/>
        <v>0</v>
      </c>
    </row>
    <row r="241" spans="1:17" ht="12.5" x14ac:dyDescent="0.25">
      <c r="A241" s="3">
        <v>46087</v>
      </c>
      <c r="B241" s="1" t="s">
        <v>16</v>
      </c>
      <c r="C241" s="1" t="s">
        <v>46</v>
      </c>
      <c r="D241" s="1" t="s">
        <v>41</v>
      </c>
      <c r="E241" s="1">
        <v>526.25173900000004</v>
      </c>
      <c r="F241" s="1">
        <v>10</v>
      </c>
      <c r="G241" s="1">
        <v>22</v>
      </c>
      <c r="H241" s="1">
        <v>52.625174000000001</v>
      </c>
      <c r="I241" s="1">
        <v>0.45454499999999998</v>
      </c>
      <c r="J241" s="1">
        <v>23920.533589999999</v>
      </c>
      <c r="K241" s="1">
        <v>0</v>
      </c>
      <c r="L241" s="1">
        <v>0</v>
      </c>
      <c r="M241" s="1" t="s">
        <v>43</v>
      </c>
      <c r="N241" s="1" t="s">
        <v>44</v>
      </c>
      <c r="O241" s="1" t="s">
        <v>44</v>
      </c>
      <c r="P241" s="2">
        <f t="shared" si="6"/>
        <v>0</v>
      </c>
      <c r="Q241" s="2">
        <f t="shared" si="7"/>
        <v>0</v>
      </c>
    </row>
    <row r="242" spans="1:17" ht="12.5" x14ac:dyDescent="0.25">
      <c r="A242" s="3">
        <v>46118</v>
      </c>
      <c r="B242" s="1" t="s">
        <v>16</v>
      </c>
      <c r="C242" s="1" t="s">
        <v>46</v>
      </c>
      <c r="D242" s="1" t="s">
        <v>41</v>
      </c>
      <c r="E242" s="1">
        <v>69.545578000000006</v>
      </c>
      <c r="F242" s="1">
        <v>8</v>
      </c>
      <c r="G242" s="1">
        <v>23</v>
      </c>
      <c r="H242" s="1">
        <v>8.6931969999999996</v>
      </c>
      <c r="I242" s="1">
        <v>0.34782600000000002</v>
      </c>
      <c r="J242" s="1">
        <v>3023.7207830000002</v>
      </c>
      <c r="K242" s="1">
        <v>0</v>
      </c>
      <c r="L242" s="1">
        <v>0</v>
      </c>
      <c r="M242" s="1" t="s">
        <v>43</v>
      </c>
      <c r="N242" s="1" t="s">
        <v>44</v>
      </c>
      <c r="O242" s="1" t="s">
        <v>44</v>
      </c>
      <c r="P242" s="2">
        <f t="shared" si="6"/>
        <v>0</v>
      </c>
      <c r="Q242" s="2">
        <f t="shared" si="7"/>
        <v>0</v>
      </c>
    </row>
    <row r="243" spans="1:17" ht="12.5" x14ac:dyDescent="0.25">
      <c r="A243" s="3">
        <v>46148</v>
      </c>
      <c r="B243" s="1" t="s">
        <v>16</v>
      </c>
      <c r="C243" s="1" t="s">
        <v>46</v>
      </c>
      <c r="D243" s="1" t="s">
        <v>41</v>
      </c>
      <c r="E243" s="1">
        <v>58.770800999999999</v>
      </c>
      <c r="F243" s="1">
        <v>8</v>
      </c>
      <c r="G243" s="1">
        <v>20</v>
      </c>
      <c r="H243" s="1">
        <v>7.3463500000000002</v>
      </c>
      <c r="I243" s="1">
        <v>0.4</v>
      </c>
      <c r="J243" s="1">
        <v>2938.5400500000001</v>
      </c>
      <c r="K243" s="1">
        <v>0</v>
      </c>
      <c r="L243" s="1">
        <v>0</v>
      </c>
      <c r="M243" s="1" t="s">
        <v>43</v>
      </c>
      <c r="N243" s="1" t="s">
        <v>44</v>
      </c>
      <c r="O243" s="1" t="s">
        <v>44</v>
      </c>
      <c r="P243" s="2">
        <f t="shared" si="6"/>
        <v>0</v>
      </c>
      <c r="Q243" s="2">
        <f t="shared" si="7"/>
        <v>0</v>
      </c>
    </row>
    <row r="244" spans="1:17" ht="12.5" x14ac:dyDescent="0.25">
      <c r="A244" s="3">
        <v>46179</v>
      </c>
      <c r="B244" s="1" t="s">
        <v>16</v>
      </c>
      <c r="C244" s="1" t="s">
        <v>46</v>
      </c>
      <c r="D244" s="1" t="s">
        <v>41</v>
      </c>
      <c r="E244" s="1">
        <v>165.200739</v>
      </c>
      <c r="F244" s="1">
        <v>7</v>
      </c>
      <c r="G244" s="1">
        <v>19</v>
      </c>
      <c r="H244" s="1">
        <v>23.600106</v>
      </c>
      <c r="I244" s="1">
        <v>0.368421</v>
      </c>
      <c r="J244" s="1">
        <v>8694.7757369999999</v>
      </c>
      <c r="K244" s="1">
        <v>0</v>
      </c>
      <c r="L244" s="1">
        <v>0</v>
      </c>
      <c r="M244" s="1" t="s">
        <v>43</v>
      </c>
      <c r="N244" s="1" t="s">
        <v>44</v>
      </c>
      <c r="O244" s="1" t="s">
        <v>44</v>
      </c>
      <c r="P244" s="2">
        <f t="shared" si="6"/>
        <v>0</v>
      </c>
      <c r="Q244" s="2">
        <f t="shared" si="7"/>
        <v>0</v>
      </c>
    </row>
    <row r="245" spans="1:17" ht="12.5" x14ac:dyDescent="0.25">
      <c r="A245" s="3">
        <v>46209</v>
      </c>
      <c r="B245" s="1" t="s">
        <v>16</v>
      </c>
      <c r="C245" s="1" t="s">
        <v>46</v>
      </c>
      <c r="D245" s="1" t="s">
        <v>41</v>
      </c>
      <c r="E245" s="1">
        <v>581.04999999999995</v>
      </c>
      <c r="F245" s="1">
        <v>1</v>
      </c>
      <c r="G245" s="1">
        <v>5</v>
      </c>
      <c r="H245" s="1">
        <v>581.04999999999995</v>
      </c>
      <c r="I245" s="1">
        <v>0.2</v>
      </c>
      <c r="J245" s="1">
        <v>116210</v>
      </c>
      <c r="K245" s="1">
        <v>0.5</v>
      </c>
      <c r="L245" s="1">
        <v>4969.8</v>
      </c>
      <c r="M245" s="1" t="s">
        <v>43</v>
      </c>
      <c r="N245" s="1" t="s">
        <v>44</v>
      </c>
      <c r="O245" s="1" t="s">
        <v>44</v>
      </c>
      <c r="P245" s="2">
        <f t="shared" si="6"/>
        <v>1.0060767032878587E-4</v>
      </c>
      <c r="Q245" s="2">
        <f t="shared" si="7"/>
        <v>1162.0999999999999</v>
      </c>
    </row>
    <row r="246" spans="1:17" ht="12.5" x14ac:dyDescent="0.25">
      <c r="A246" s="3">
        <v>46240</v>
      </c>
      <c r="B246" s="1" t="s">
        <v>16</v>
      </c>
      <c r="C246" s="1" t="s">
        <v>46</v>
      </c>
      <c r="D246" s="1" t="s">
        <v>41</v>
      </c>
      <c r="E246" s="1">
        <v>1156.957257</v>
      </c>
      <c r="F246" s="1">
        <v>10</v>
      </c>
      <c r="G246" s="1">
        <v>24</v>
      </c>
      <c r="H246" s="1">
        <v>115.69572599999999</v>
      </c>
      <c r="I246" s="1">
        <v>0.41666700000000001</v>
      </c>
      <c r="J246" s="1">
        <v>48206.552380000001</v>
      </c>
      <c r="K246" s="1">
        <v>0.5</v>
      </c>
      <c r="L246" s="1">
        <v>4969.8</v>
      </c>
      <c r="M246" s="1" t="s">
        <v>43</v>
      </c>
      <c r="N246" s="1" t="s">
        <v>44</v>
      </c>
      <c r="O246" s="1" t="s">
        <v>44</v>
      </c>
      <c r="P246" s="2">
        <f t="shared" si="6"/>
        <v>1.0060767032878587E-4</v>
      </c>
      <c r="Q246" s="2">
        <f t="shared" si="7"/>
        <v>2313.9145140000001</v>
      </c>
    </row>
    <row r="247" spans="1:17" ht="12.5" x14ac:dyDescent="0.25">
      <c r="A247" s="3">
        <v>46271</v>
      </c>
      <c r="B247" s="1" t="s">
        <v>16</v>
      </c>
      <c r="C247" s="1" t="s">
        <v>46</v>
      </c>
      <c r="D247" s="1" t="s">
        <v>41</v>
      </c>
      <c r="E247" s="1">
        <v>376.40184399999998</v>
      </c>
      <c r="F247" s="1">
        <v>7</v>
      </c>
      <c r="G247" s="1">
        <v>18</v>
      </c>
      <c r="H247" s="1">
        <v>53.771692000000002</v>
      </c>
      <c r="I247" s="1">
        <v>0.38888899999999998</v>
      </c>
      <c r="J247" s="1">
        <v>20911.21356</v>
      </c>
      <c r="K247" s="1">
        <v>1</v>
      </c>
      <c r="L247" s="1">
        <v>41052</v>
      </c>
      <c r="M247" s="1" t="s">
        <v>43</v>
      </c>
      <c r="N247" s="1" t="s">
        <v>44</v>
      </c>
      <c r="O247" s="1" t="s">
        <v>44</v>
      </c>
      <c r="P247" s="2">
        <f t="shared" si="6"/>
        <v>2.4359349118191562E-5</v>
      </c>
      <c r="Q247" s="2">
        <f t="shared" si="7"/>
        <v>376.40184399999998</v>
      </c>
    </row>
    <row r="248" spans="1:17" ht="12.5" x14ac:dyDescent="0.25">
      <c r="A248" s="3">
        <v>46301</v>
      </c>
      <c r="B248" s="1" t="s">
        <v>16</v>
      </c>
      <c r="C248" s="1" t="s">
        <v>46</v>
      </c>
      <c r="D248" s="1" t="s">
        <v>41</v>
      </c>
      <c r="E248" s="1">
        <v>277.27955400000002</v>
      </c>
      <c r="F248" s="1">
        <v>9</v>
      </c>
      <c r="G248" s="1">
        <v>20</v>
      </c>
      <c r="H248" s="1">
        <v>30.808838999999999</v>
      </c>
      <c r="I248" s="1">
        <v>0.45</v>
      </c>
      <c r="J248" s="1">
        <v>13863.977699999999</v>
      </c>
      <c r="K248" s="1">
        <v>0</v>
      </c>
      <c r="L248" s="1">
        <v>0</v>
      </c>
      <c r="M248" s="1" t="s">
        <v>43</v>
      </c>
      <c r="N248" s="1" t="s">
        <v>44</v>
      </c>
      <c r="O248" s="1" t="s">
        <v>44</v>
      </c>
      <c r="P248" s="2">
        <f t="shared" si="6"/>
        <v>0</v>
      </c>
      <c r="Q248" s="2">
        <f t="shared" si="7"/>
        <v>0</v>
      </c>
    </row>
    <row r="249" spans="1:17" ht="12.5" x14ac:dyDescent="0.25">
      <c r="A249" s="3">
        <v>46332</v>
      </c>
      <c r="B249" s="1" t="s">
        <v>16</v>
      </c>
      <c r="C249" s="1" t="s">
        <v>46</v>
      </c>
      <c r="D249" s="1" t="s">
        <v>41</v>
      </c>
      <c r="E249" s="1">
        <v>132.555126</v>
      </c>
      <c r="F249" s="1">
        <v>5</v>
      </c>
      <c r="G249" s="1">
        <v>12</v>
      </c>
      <c r="H249" s="1">
        <v>26.511025</v>
      </c>
      <c r="I249" s="1">
        <v>0.41666700000000001</v>
      </c>
      <c r="J249" s="1">
        <v>11046.2605</v>
      </c>
      <c r="K249" s="1">
        <v>1</v>
      </c>
      <c r="L249" s="1">
        <v>45408</v>
      </c>
      <c r="M249" s="1" t="s">
        <v>43</v>
      </c>
      <c r="N249" s="1" t="s">
        <v>44</v>
      </c>
      <c r="O249" s="1" t="s">
        <v>44</v>
      </c>
      <c r="P249" s="2">
        <f t="shared" si="6"/>
        <v>2.2022551092318535E-5</v>
      </c>
      <c r="Q249" s="2">
        <f t="shared" si="7"/>
        <v>132.555126</v>
      </c>
    </row>
    <row r="250" spans="1:17" ht="12.5" x14ac:dyDescent="0.25">
      <c r="A250" s="3">
        <v>46362</v>
      </c>
      <c r="B250" s="1" t="s">
        <v>16</v>
      </c>
      <c r="C250" s="1" t="s">
        <v>46</v>
      </c>
      <c r="D250" s="1" t="s">
        <v>41</v>
      </c>
      <c r="E250" s="1">
        <v>46.452562999999998</v>
      </c>
      <c r="F250" s="1">
        <v>5</v>
      </c>
      <c r="G250" s="1">
        <v>14</v>
      </c>
      <c r="H250" s="1">
        <v>9.2905130000000007</v>
      </c>
      <c r="I250" s="1">
        <v>0.35714299999999999</v>
      </c>
      <c r="J250" s="1">
        <v>3318.0402140000001</v>
      </c>
      <c r="K250" s="1">
        <v>0</v>
      </c>
      <c r="L250" s="1">
        <v>0</v>
      </c>
      <c r="M250" s="1" t="s">
        <v>43</v>
      </c>
      <c r="N250" s="1" t="s">
        <v>44</v>
      </c>
      <c r="O250" s="1" t="s">
        <v>44</v>
      </c>
      <c r="P250" s="2">
        <f t="shared" si="6"/>
        <v>0</v>
      </c>
      <c r="Q250" s="2">
        <f t="shared" si="7"/>
        <v>0</v>
      </c>
    </row>
    <row r="251" spans="1:17" ht="12.5" x14ac:dyDescent="0.25">
      <c r="A251" s="1" t="s">
        <v>57</v>
      </c>
      <c r="B251" s="1" t="s">
        <v>16</v>
      </c>
      <c r="C251" s="1" t="s">
        <v>46</v>
      </c>
      <c r="D251" s="1" t="s">
        <v>41</v>
      </c>
      <c r="E251" s="1">
        <v>440.891277</v>
      </c>
      <c r="F251" s="1">
        <v>7</v>
      </c>
      <c r="G251" s="1">
        <v>19</v>
      </c>
      <c r="H251" s="1">
        <v>62.984468</v>
      </c>
      <c r="I251" s="1">
        <v>0.368421</v>
      </c>
      <c r="J251" s="1">
        <v>23204.804049999999</v>
      </c>
      <c r="K251" s="1">
        <v>0</v>
      </c>
      <c r="L251" s="1">
        <v>0</v>
      </c>
      <c r="M251" s="1" t="s">
        <v>43</v>
      </c>
      <c r="N251" s="1" t="s">
        <v>44</v>
      </c>
      <c r="O251" s="1" t="s">
        <v>44</v>
      </c>
      <c r="P251" s="2">
        <f t="shared" si="6"/>
        <v>0</v>
      </c>
      <c r="Q251" s="2">
        <f t="shared" si="7"/>
        <v>0</v>
      </c>
    </row>
    <row r="252" spans="1:17" ht="12.5" x14ac:dyDescent="0.25">
      <c r="A252" s="1" t="s">
        <v>58</v>
      </c>
      <c r="B252" s="1" t="s">
        <v>16</v>
      </c>
      <c r="C252" s="1" t="s">
        <v>46</v>
      </c>
      <c r="D252" s="1" t="s">
        <v>41</v>
      </c>
      <c r="E252" s="1">
        <v>1800.51</v>
      </c>
      <c r="F252" s="1">
        <v>4</v>
      </c>
      <c r="G252" s="1">
        <v>14</v>
      </c>
      <c r="H252" s="1">
        <v>450.1275</v>
      </c>
      <c r="I252" s="1">
        <v>0.28571400000000002</v>
      </c>
      <c r="J252" s="1">
        <v>128607.85709999999</v>
      </c>
      <c r="K252" s="1">
        <v>0</v>
      </c>
      <c r="L252" s="1">
        <v>0</v>
      </c>
      <c r="M252" s="1" t="s">
        <v>43</v>
      </c>
      <c r="N252" s="1" t="s">
        <v>44</v>
      </c>
      <c r="O252" s="1" t="s">
        <v>44</v>
      </c>
      <c r="P252" s="2">
        <f t="shared" si="6"/>
        <v>0</v>
      </c>
      <c r="Q252" s="2">
        <f t="shared" si="7"/>
        <v>0</v>
      </c>
    </row>
    <row r="253" spans="1:17" ht="12.5" x14ac:dyDescent="0.25">
      <c r="A253" s="1" t="s">
        <v>59</v>
      </c>
      <c r="B253" s="1" t="s">
        <v>16</v>
      </c>
      <c r="C253" s="1" t="s">
        <v>46</v>
      </c>
      <c r="D253" s="1" t="s">
        <v>41</v>
      </c>
      <c r="E253" s="1">
        <v>168.631125</v>
      </c>
      <c r="F253" s="1">
        <v>7</v>
      </c>
      <c r="G253" s="1">
        <v>16</v>
      </c>
      <c r="H253" s="1">
        <v>24.090160999999998</v>
      </c>
      <c r="I253" s="1">
        <v>0.4375</v>
      </c>
      <c r="J253" s="1">
        <v>10539.445309999999</v>
      </c>
      <c r="K253" s="1">
        <v>0</v>
      </c>
      <c r="L253" s="1">
        <v>0</v>
      </c>
      <c r="M253" s="1" t="s">
        <v>43</v>
      </c>
      <c r="N253" s="1" t="s">
        <v>44</v>
      </c>
      <c r="O253" s="1" t="s">
        <v>44</v>
      </c>
      <c r="P253" s="2">
        <f t="shared" si="6"/>
        <v>0</v>
      </c>
      <c r="Q253" s="2">
        <f t="shared" si="7"/>
        <v>0</v>
      </c>
    </row>
    <row r="254" spans="1:17" ht="12.5" x14ac:dyDescent="0.25">
      <c r="A254" s="1" t="s">
        <v>60</v>
      </c>
      <c r="B254" s="1" t="s">
        <v>16</v>
      </c>
      <c r="C254" s="1" t="s">
        <v>46</v>
      </c>
      <c r="D254" s="1" t="s">
        <v>41</v>
      </c>
      <c r="E254" s="1">
        <v>111.78</v>
      </c>
      <c r="F254" s="1">
        <v>7</v>
      </c>
      <c r="G254" s="1">
        <v>14</v>
      </c>
      <c r="H254" s="1">
        <v>15.968571000000001</v>
      </c>
      <c r="I254" s="1">
        <v>0.5</v>
      </c>
      <c r="J254" s="1">
        <v>7984.2857139999996</v>
      </c>
      <c r="K254" s="1">
        <v>0</v>
      </c>
      <c r="L254" s="1">
        <v>0</v>
      </c>
      <c r="M254" s="1" t="s">
        <v>43</v>
      </c>
      <c r="N254" s="1" t="s">
        <v>44</v>
      </c>
      <c r="O254" s="1" t="s">
        <v>44</v>
      </c>
      <c r="P254" s="2">
        <f t="shared" si="6"/>
        <v>0</v>
      </c>
      <c r="Q254" s="2">
        <f t="shared" si="7"/>
        <v>0</v>
      </c>
    </row>
    <row r="255" spans="1:17" ht="12.5" x14ac:dyDescent="0.25">
      <c r="A255" s="1" t="s">
        <v>61</v>
      </c>
      <c r="B255" s="1" t="s">
        <v>16</v>
      </c>
      <c r="C255" s="1" t="s">
        <v>46</v>
      </c>
      <c r="D255" s="1" t="s">
        <v>41</v>
      </c>
      <c r="E255" s="1">
        <v>68.11</v>
      </c>
      <c r="F255" s="1">
        <v>6</v>
      </c>
      <c r="G255" s="1">
        <v>26</v>
      </c>
      <c r="H255" s="1">
        <v>11.351667000000001</v>
      </c>
      <c r="I255" s="1">
        <v>0.230769</v>
      </c>
      <c r="J255" s="1">
        <v>2619.6153850000001</v>
      </c>
      <c r="K255" s="1">
        <v>0</v>
      </c>
      <c r="L255" s="1">
        <v>0</v>
      </c>
      <c r="M255" s="1" t="s">
        <v>43</v>
      </c>
      <c r="N255" s="1" t="s">
        <v>44</v>
      </c>
      <c r="O255" s="1" t="s">
        <v>44</v>
      </c>
      <c r="P255" s="2">
        <f t="shared" si="6"/>
        <v>0</v>
      </c>
      <c r="Q255" s="2">
        <f t="shared" si="7"/>
        <v>0</v>
      </c>
    </row>
    <row r="256" spans="1:17" ht="12.5" x14ac:dyDescent="0.25">
      <c r="A256" s="1" t="s">
        <v>62</v>
      </c>
      <c r="B256" s="1" t="s">
        <v>16</v>
      </c>
      <c r="C256" s="1" t="s">
        <v>46</v>
      </c>
      <c r="D256" s="1" t="s">
        <v>41</v>
      </c>
      <c r="E256" s="1">
        <v>133.26</v>
      </c>
      <c r="F256" s="1">
        <v>9</v>
      </c>
      <c r="G256" s="1">
        <v>32</v>
      </c>
      <c r="H256" s="1">
        <v>14.806666999999999</v>
      </c>
      <c r="I256" s="1">
        <v>0.28125</v>
      </c>
      <c r="J256" s="1">
        <v>4164.375</v>
      </c>
      <c r="K256" s="1">
        <v>0</v>
      </c>
      <c r="L256" s="1">
        <v>0</v>
      </c>
      <c r="M256" s="1" t="s">
        <v>43</v>
      </c>
      <c r="N256" s="1" t="s">
        <v>44</v>
      </c>
      <c r="O256" s="1" t="s">
        <v>44</v>
      </c>
      <c r="P256" s="2">
        <f t="shared" si="6"/>
        <v>0</v>
      </c>
      <c r="Q256" s="2">
        <f t="shared" si="7"/>
        <v>0</v>
      </c>
    </row>
    <row r="257" spans="1:17" ht="12.5" x14ac:dyDescent="0.25">
      <c r="A257" s="1" t="s">
        <v>63</v>
      </c>
      <c r="B257" s="1" t="s">
        <v>16</v>
      </c>
      <c r="C257" s="1" t="s">
        <v>46</v>
      </c>
      <c r="D257" s="1" t="s">
        <v>41</v>
      </c>
      <c r="E257" s="1">
        <v>93.45</v>
      </c>
      <c r="F257" s="1">
        <v>10</v>
      </c>
      <c r="G257" s="1">
        <v>42</v>
      </c>
      <c r="H257" s="1">
        <v>9.3450000000000006</v>
      </c>
      <c r="I257" s="1">
        <v>0.238095</v>
      </c>
      <c r="J257" s="1">
        <v>2225</v>
      </c>
      <c r="K257" s="1">
        <v>0</v>
      </c>
      <c r="L257" s="1">
        <v>0</v>
      </c>
      <c r="M257" s="1" t="s">
        <v>43</v>
      </c>
      <c r="N257" s="1" t="s">
        <v>44</v>
      </c>
      <c r="O257" s="1" t="s">
        <v>44</v>
      </c>
      <c r="P257" s="2">
        <f t="shared" si="6"/>
        <v>0</v>
      </c>
      <c r="Q257" s="2">
        <f t="shared" si="7"/>
        <v>0</v>
      </c>
    </row>
    <row r="258" spans="1:17" ht="12.5" x14ac:dyDescent="0.25">
      <c r="A258" s="1" t="s">
        <v>64</v>
      </c>
      <c r="B258" s="1" t="s">
        <v>16</v>
      </c>
      <c r="C258" s="1" t="s">
        <v>46</v>
      </c>
      <c r="D258" s="1" t="s">
        <v>41</v>
      </c>
      <c r="E258" s="1">
        <v>6.65</v>
      </c>
      <c r="F258" s="1">
        <v>7</v>
      </c>
      <c r="G258" s="1">
        <v>24</v>
      </c>
      <c r="H258" s="1">
        <v>0.95</v>
      </c>
      <c r="I258" s="1">
        <v>0.29166700000000001</v>
      </c>
      <c r="J258" s="1">
        <v>277.08333299999998</v>
      </c>
      <c r="K258" s="1">
        <v>0</v>
      </c>
      <c r="L258" s="1">
        <v>0</v>
      </c>
      <c r="M258" s="1" t="s">
        <v>43</v>
      </c>
      <c r="N258" s="1" t="s">
        <v>44</v>
      </c>
      <c r="O258" s="1" t="s">
        <v>44</v>
      </c>
      <c r="P258" s="2">
        <f t="shared" si="6"/>
        <v>0</v>
      </c>
      <c r="Q258" s="2">
        <f t="shared" si="7"/>
        <v>0</v>
      </c>
    </row>
    <row r="259" spans="1:17" ht="12.5" x14ac:dyDescent="0.25">
      <c r="A259" s="1" t="s">
        <v>45</v>
      </c>
      <c r="B259" s="1" t="s">
        <v>16</v>
      </c>
      <c r="C259" s="1" t="s">
        <v>46</v>
      </c>
      <c r="D259" s="1" t="s">
        <v>41</v>
      </c>
      <c r="E259" s="1">
        <v>620.76331300000004</v>
      </c>
      <c r="F259" s="1">
        <v>13</v>
      </c>
      <c r="G259" s="1">
        <v>43</v>
      </c>
      <c r="H259" s="1">
        <v>47.751024000000001</v>
      </c>
      <c r="I259" s="1">
        <v>0.30232599999999998</v>
      </c>
      <c r="J259" s="1">
        <v>14436.35612</v>
      </c>
      <c r="K259" s="1">
        <v>0</v>
      </c>
      <c r="L259" s="1">
        <v>0</v>
      </c>
      <c r="M259" s="1" t="s">
        <v>43</v>
      </c>
      <c r="N259" s="1" t="s">
        <v>44</v>
      </c>
      <c r="O259" s="1" t="s">
        <v>44</v>
      </c>
      <c r="P259" s="2">
        <f t="shared" ref="P259:P322" si="8">IFERROR(K259/ L259, 0)</f>
        <v>0</v>
      </c>
      <c r="Q259" s="2">
        <f t="shared" ref="Q259:Q322" si="9">IFERROR(E259/K259, 0)</f>
        <v>0</v>
      </c>
    </row>
    <row r="260" spans="1:17" ht="12.5" x14ac:dyDescent="0.25">
      <c r="A260" s="1" t="s">
        <v>48</v>
      </c>
      <c r="B260" s="1" t="s">
        <v>16</v>
      </c>
      <c r="C260" s="1" t="s">
        <v>46</v>
      </c>
      <c r="D260" s="1" t="s">
        <v>41</v>
      </c>
      <c r="E260" s="1">
        <v>765.02</v>
      </c>
      <c r="F260" s="1">
        <v>5</v>
      </c>
      <c r="G260" s="1">
        <v>20</v>
      </c>
      <c r="H260" s="1">
        <v>153.00399999999999</v>
      </c>
      <c r="I260" s="1">
        <v>0.25</v>
      </c>
      <c r="J260" s="1">
        <v>38251</v>
      </c>
      <c r="K260" s="1">
        <v>0</v>
      </c>
      <c r="L260" s="1">
        <v>0</v>
      </c>
      <c r="M260" s="1" t="s">
        <v>43</v>
      </c>
      <c r="N260" s="1" t="s">
        <v>44</v>
      </c>
      <c r="O260" s="1" t="s">
        <v>44</v>
      </c>
      <c r="P260" s="2">
        <f t="shared" si="8"/>
        <v>0</v>
      </c>
      <c r="Q260" s="2">
        <f t="shared" si="9"/>
        <v>0</v>
      </c>
    </row>
    <row r="261" spans="1:17" ht="12.5" x14ac:dyDescent="0.25">
      <c r="A261" s="1" t="s">
        <v>49</v>
      </c>
      <c r="B261" s="1" t="s">
        <v>16</v>
      </c>
      <c r="C261" s="1" t="s">
        <v>46</v>
      </c>
      <c r="D261" s="1" t="s">
        <v>41</v>
      </c>
      <c r="E261" s="1">
        <v>208.534809</v>
      </c>
      <c r="F261" s="1">
        <v>11</v>
      </c>
      <c r="G261" s="1">
        <v>43</v>
      </c>
      <c r="H261" s="1">
        <v>18.957709999999999</v>
      </c>
      <c r="I261" s="1">
        <v>0.25581399999999999</v>
      </c>
      <c r="J261" s="1">
        <v>4849.6467210000001</v>
      </c>
      <c r="K261" s="1">
        <v>0</v>
      </c>
      <c r="L261" s="1">
        <v>0</v>
      </c>
      <c r="M261" s="1" t="s">
        <v>43</v>
      </c>
      <c r="N261" s="1" t="s">
        <v>44</v>
      </c>
      <c r="O261" s="1" t="s">
        <v>44</v>
      </c>
      <c r="P261" s="2">
        <f t="shared" si="8"/>
        <v>0</v>
      </c>
      <c r="Q261" s="2">
        <f t="shared" si="9"/>
        <v>0</v>
      </c>
    </row>
    <row r="262" spans="1:17" ht="12.5" x14ac:dyDescent="0.25">
      <c r="A262" s="1" t="s">
        <v>50</v>
      </c>
      <c r="B262" s="1" t="s">
        <v>16</v>
      </c>
      <c r="C262" s="1" t="s">
        <v>46</v>
      </c>
      <c r="D262" s="1" t="s">
        <v>41</v>
      </c>
      <c r="E262" s="1">
        <v>54.93</v>
      </c>
      <c r="F262" s="1">
        <v>7</v>
      </c>
      <c r="G262" s="1">
        <v>26</v>
      </c>
      <c r="H262" s="1">
        <v>7.847143</v>
      </c>
      <c r="I262" s="1">
        <v>0.269231</v>
      </c>
      <c r="J262" s="1">
        <v>2112.6923080000001</v>
      </c>
      <c r="K262" s="1">
        <v>0</v>
      </c>
      <c r="L262" s="1">
        <v>0</v>
      </c>
      <c r="M262" s="1" t="s">
        <v>43</v>
      </c>
      <c r="N262" s="1" t="s">
        <v>44</v>
      </c>
      <c r="O262" s="1" t="s">
        <v>44</v>
      </c>
      <c r="P262" s="2">
        <f t="shared" si="8"/>
        <v>0</v>
      </c>
      <c r="Q262" s="2">
        <f t="shared" si="9"/>
        <v>0</v>
      </c>
    </row>
    <row r="263" spans="1:17" ht="12.5" x14ac:dyDescent="0.25">
      <c r="A263" s="1" t="s">
        <v>51</v>
      </c>
      <c r="B263" s="1" t="s">
        <v>16</v>
      </c>
      <c r="C263" s="1" t="s">
        <v>46</v>
      </c>
      <c r="D263" s="1" t="s">
        <v>41</v>
      </c>
      <c r="E263" s="1">
        <v>160.01</v>
      </c>
      <c r="F263" s="1">
        <v>8</v>
      </c>
      <c r="G263" s="1">
        <v>35</v>
      </c>
      <c r="H263" s="1">
        <v>20.001249999999999</v>
      </c>
      <c r="I263" s="1">
        <v>0.228571</v>
      </c>
      <c r="J263" s="1">
        <v>4571.7142860000004</v>
      </c>
      <c r="K263" s="1">
        <v>0</v>
      </c>
      <c r="L263" s="1">
        <v>0</v>
      </c>
      <c r="M263" s="1" t="s">
        <v>43</v>
      </c>
      <c r="N263" s="1" t="s">
        <v>44</v>
      </c>
      <c r="O263" s="1" t="s">
        <v>44</v>
      </c>
      <c r="P263" s="2">
        <f t="shared" si="8"/>
        <v>0</v>
      </c>
      <c r="Q263" s="2">
        <f t="shared" si="9"/>
        <v>0</v>
      </c>
    </row>
    <row r="264" spans="1:17" ht="12.5" x14ac:dyDescent="0.25">
      <c r="A264" s="1" t="s">
        <v>65</v>
      </c>
      <c r="B264" s="1" t="s">
        <v>16</v>
      </c>
      <c r="C264" s="1" t="s">
        <v>46</v>
      </c>
      <c r="D264" s="1" t="s">
        <v>41</v>
      </c>
      <c r="E264" s="1">
        <v>2.85</v>
      </c>
      <c r="F264" s="1">
        <v>3</v>
      </c>
      <c r="G264" s="1">
        <v>19</v>
      </c>
      <c r="H264" s="1">
        <v>0.95</v>
      </c>
      <c r="I264" s="1">
        <v>0.15789500000000001</v>
      </c>
      <c r="J264" s="1">
        <v>150</v>
      </c>
      <c r="K264" s="1">
        <v>0</v>
      </c>
      <c r="L264" s="1">
        <v>0</v>
      </c>
      <c r="M264" s="1" t="s">
        <v>43</v>
      </c>
      <c r="N264" s="1" t="s">
        <v>44</v>
      </c>
      <c r="O264" s="1" t="s">
        <v>44</v>
      </c>
      <c r="P264" s="2">
        <f t="shared" si="8"/>
        <v>0</v>
      </c>
      <c r="Q264" s="2">
        <f t="shared" si="9"/>
        <v>0</v>
      </c>
    </row>
    <row r="265" spans="1:17" ht="12.5" x14ac:dyDescent="0.25">
      <c r="A265" s="1" t="s">
        <v>52</v>
      </c>
      <c r="B265" s="1" t="s">
        <v>16</v>
      </c>
      <c r="C265" s="1" t="s">
        <v>46</v>
      </c>
      <c r="D265" s="1" t="s">
        <v>41</v>
      </c>
      <c r="E265" s="1">
        <v>7.16</v>
      </c>
      <c r="F265" s="1">
        <v>8</v>
      </c>
      <c r="G265" s="1">
        <v>26</v>
      </c>
      <c r="H265" s="1">
        <v>0.89500000000000002</v>
      </c>
      <c r="I265" s="1">
        <v>0.30769200000000002</v>
      </c>
      <c r="J265" s="1">
        <v>275.384615</v>
      </c>
      <c r="K265" s="1">
        <v>0</v>
      </c>
      <c r="L265" s="1">
        <v>0</v>
      </c>
      <c r="M265" s="1" t="s">
        <v>43</v>
      </c>
      <c r="N265" s="1" t="s">
        <v>44</v>
      </c>
      <c r="O265" s="1" t="s">
        <v>44</v>
      </c>
      <c r="P265" s="2">
        <f t="shared" si="8"/>
        <v>0</v>
      </c>
      <c r="Q265" s="2">
        <f t="shared" si="9"/>
        <v>0</v>
      </c>
    </row>
    <row r="266" spans="1:17" ht="12.5" x14ac:dyDescent="0.25">
      <c r="A266" s="1" t="s">
        <v>53</v>
      </c>
      <c r="B266" s="1" t="s">
        <v>16</v>
      </c>
      <c r="C266" s="1" t="s">
        <v>46</v>
      </c>
      <c r="D266" s="1" t="s">
        <v>41</v>
      </c>
      <c r="E266" s="1">
        <v>2039.13</v>
      </c>
      <c r="F266" s="1">
        <v>7</v>
      </c>
      <c r="G266" s="1">
        <v>47</v>
      </c>
      <c r="H266" s="1">
        <v>291.30428599999999</v>
      </c>
      <c r="I266" s="1">
        <v>0.14893600000000001</v>
      </c>
      <c r="J266" s="1">
        <v>43385.744680000003</v>
      </c>
      <c r="K266" s="1">
        <v>0</v>
      </c>
      <c r="L266" s="1">
        <v>0</v>
      </c>
      <c r="M266" s="1" t="s">
        <v>43</v>
      </c>
      <c r="N266" s="1" t="s">
        <v>44</v>
      </c>
      <c r="O266" s="1" t="s">
        <v>44</v>
      </c>
      <c r="P266" s="2">
        <f t="shared" si="8"/>
        <v>0</v>
      </c>
      <c r="Q266" s="2">
        <f t="shared" si="9"/>
        <v>0</v>
      </c>
    </row>
    <row r="267" spans="1:17" ht="12.5" x14ac:dyDescent="0.25">
      <c r="A267" s="1" t="s">
        <v>54</v>
      </c>
      <c r="B267" s="1" t="s">
        <v>16</v>
      </c>
      <c r="C267" s="1" t="s">
        <v>46</v>
      </c>
      <c r="D267" s="1" t="s">
        <v>41</v>
      </c>
      <c r="E267" s="1">
        <v>25.555399999999999</v>
      </c>
      <c r="F267" s="1">
        <v>11</v>
      </c>
      <c r="G267" s="1">
        <v>46</v>
      </c>
      <c r="H267" s="1">
        <v>2.3232179999999998</v>
      </c>
      <c r="I267" s="1">
        <v>0.23913000000000001</v>
      </c>
      <c r="J267" s="1">
        <v>555.55217400000004</v>
      </c>
      <c r="K267" s="1">
        <v>1</v>
      </c>
      <c r="L267" s="1">
        <v>17870</v>
      </c>
      <c r="M267" s="1" t="s">
        <v>43</v>
      </c>
      <c r="N267" s="1" t="s">
        <v>44</v>
      </c>
      <c r="O267" s="1" t="s">
        <v>44</v>
      </c>
      <c r="P267" s="2">
        <f t="shared" si="8"/>
        <v>5.5959709009513153E-5</v>
      </c>
      <c r="Q267" s="2">
        <f t="shared" si="9"/>
        <v>25.555399999999999</v>
      </c>
    </row>
    <row r="268" spans="1:17" ht="12.5" x14ac:dyDescent="0.25">
      <c r="A268" s="1" t="s">
        <v>55</v>
      </c>
      <c r="B268" s="1" t="s">
        <v>16</v>
      </c>
      <c r="C268" s="1" t="s">
        <v>46</v>
      </c>
      <c r="D268" s="1" t="s">
        <v>41</v>
      </c>
      <c r="E268" s="1">
        <v>142.80000000000001</v>
      </c>
      <c r="F268" s="1">
        <v>9</v>
      </c>
      <c r="G268" s="1">
        <v>33</v>
      </c>
      <c r="H268" s="1">
        <v>15.866667</v>
      </c>
      <c r="I268" s="1">
        <v>0.272727</v>
      </c>
      <c r="J268" s="1">
        <v>4327.2727269999996</v>
      </c>
      <c r="K268" s="1">
        <v>0</v>
      </c>
      <c r="L268" s="1">
        <v>0</v>
      </c>
      <c r="M268" s="1" t="s">
        <v>43</v>
      </c>
      <c r="N268" s="1" t="s">
        <v>44</v>
      </c>
      <c r="O268" s="1" t="s">
        <v>44</v>
      </c>
      <c r="P268" s="2">
        <f t="shared" si="8"/>
        <v>0</v>
      </c>
      <c r="Q268" s="2">
        <f t="shared" si="9"/>
        <v>0</v>
      </c>
    </row>
    <row r="269" spans="1:17" ht="12.5" x14ac:dyDescent="0.25">
      <c r="A269" s="1" t="s">
        <v>64</v>
      </c>
      <c r="B269" s="1" t="s">
        <v>16</v>
      </c>
      <c r="C269" s="1" t="s">
        <v>56</v>
      </c>
      <c r="D269" s="1" t="s">
        <v>41</v>
      </c>
      <c r="E269" s="1">
        <v>77.56</v>
      </c>
      <c r="F269" s="1">
        <v>1</v>
      </c>
      <c r="G269" s="1">
        <v>60</v>
      </c>
      <c r="H269" s="1">
        <v>77.56</v>
      </c>
      <c r="I269" s="1">
        <v>1.6667000000000001E-2</v>
      </c>
      <c r="J269" s="1">
        <v>1292.666667</v>
      </c>
      <c r="K269" s="1">
        <v>0</v>
      </c>
      <c r="L269" s="1">
        <v>0</v>
      </c>
      <c r="M269" s="1" t="s">
        <v>43</v>
      </c>
      <c r="N269" s="1" t="s">
        <v>44</v>
      </c>
      <c r="O269" s="1" t="s">
        <v>44</v>
      </c>
      <c r="P269" s="2">
        <f t="shared" si="8"/>
        <v>0</v>
      </c>
      <c r="Q269" s="2">
        <f t="shared" si="9"/>
        <v>0</v>
      </c>
    </row>
    <row r="270" spans="1:17" ht="12.5" x14ac:dyDescent="0.25">
      <c r="A270" s="1" t="s">
        <v>45</v>
      </c>
      <c r="B270" s="1" t="s">
        <v>16</v>
      </c>
      <c r="C270" s="1" t="s">
        <v>56</v>
      </c>
      <c r="D270" s="1" t="s">
        <v>41</v>
      </c>
      <c r="E270" s="1">
        <v>339.18</v>
      </c>
      <c r="F270" s="1">
        <v>9</v>
      </c>
      <c r="G270" s="1">
        <v>917</v>
      </c>
      <c r="H270" s="1">
        <v>37.686667</v>
      </c>
      <c r="I270" s="1">
        <v>9.8150000000000008E-3</v>
      </c>
      <c r="J270" s="1">
        <v>369.880044</v>
      </c>
      <c r="K270" s="1">
        <v>0</v>
      </c>
      <c r="L270" s="1">
        <v>0</v>
      </c>
      <c r="M270" s="1" t="s">
        <v>43</v>
      </c>
      <c r="N270" s="1" t="s">
        <v>44</v>
      </c>
      <c r="O270" s="1" t="s">
        <v>44</v>
      </c>
      <c r="P270" s="2">
        <f t="shared" si="8"/>
        <v>0</v>
      </c>
      <c r="Q270" s="2">
        <f t="shared" si="9"/>
        <v>0</v>
      </c>
    </row>
    <row r="271" spans="1:17" ht="12.5" x14ac:dyDescent="0.25">
      <c r="A271" s="1" t="s">
        <v>48</v>
      </c>
      <c r="B271" s="1" t="s">
        <v>16</v>
      </c>
      <c r="C271" s="1" t="s">
        <v>56</v>
      </c>
      <c r="D271" s="1" t="s">
        <v>41</v>
      </c>
      <c r="E271" s="1">
        <v>1035.9858400000001</v>
      </c>
      <c r="F271" s="1">
        <v>17</v>
      </c>
      <c r="G271" s="1">
        <v>1248</v>
      </c>
      <c r="H271" s="1">
        <v>60.940344000000003</v>
      </c>
      <c r="I271" s="1">
        <v>1.3622E-2</v>
      </c>
      <c r="J271" s="1">
        <v>830.11685899999998</v>
      </c>
      <c r="K271" s="1">
        <v>0</v>
      </c>
      <c r="L271" s="1">
        <v>0</v>
      </c>
      <c r="M271" s="1" t="s">
        <v>43</v>
      </c>
      <c r="N271" s="1" t="s">
        <v>44</v>
      </c>
      <c r="O271" s="1" t="s">
        <v>44</v>
      </c>
      <c r="P271" s="2">
        <f t="shared" si="8"/>
        <v>0</v>
      </c>
      <c r="Q271" s="2">
        <f t="shared" si="9"/>
        <v>0</v>
      </c>
    </row>
    <row r="272" spans="1:17" ht="12.5" x14ac:dyDescent="0.25">
      <c r="A272" s="1" t="s">
        <v>49</v>
      </c>
      <c r="B272" s="1" t="s">
        <v>16</v>
      </c>
      <c r="C272" s="1" t="s">
        <v>56</v>
      </c>
      <c r="D272" s="1" t="s">
        <v>41</v>
      </c>
      <c r="E272" s="1">
        <v>922.82147199999997</v>
      </c>
      <c r="F272" s="1">
        <v>26</v>
      </c>
      <c r="G272" s="1">
        <v>1306</v>
      </c>
      <c r="H272" s="1">
        <v>35.493133999999998</v>
      </c>
      <c r="I272" s="1">
        <v>1.9907999999999999E-2</v>
      </c>
      <c r="J272" s="1">
        <v>706.60143300000004</v>
      </c>
      <c r="K272" s="1">
        <v>0</v>
      </c>
      <c r="L272" s="1">
        <v>0</v>
      </c>
      <c r="M272" s="1" t="s">
        <v>43</v>
      </c>
      <c r="N272" s="1" t="s">
        <v>44</v>
      </c>
      <c r="O272" s="1" t="s">
        <v>44</v>
      </c>
      <c r="P272" s="2">
        <f t="shared" si="8"/>
        <v>0</v>
      </c>
      <c r="Q272" s="2">
        <f t="shared" si="9"/>
        <v>0</v>
      </c>
    </row>
    <row r="273" spans="1:17" ht="12.5" x14ac:dyDescent="0.25">
      <c r="A273" s="1" t="s">
        <v>50</v>
      </c>
      <c r="B273" s="1" t="s">
        <v>16</v>
      </c>
      <c r="C273" s="1" t="s">
        <v>56</v>
      </c>
      <c r="D273" s="1" t="s">
        <v>41</v>
      </c>
      <c r="E273" s="1">
        <v>1139.859829</v>
      </c>
      <c r="F273" s="1">
        <v>20</v>
      </c>
      <c r="G273" s="1">
        <v>736</v>
      </c>
      <c r="H273" s="1">
        <v>56.992991000000004</v>
      </c>
      <c r="I273" s="1">
        <v>2.7174E-2</v>
      </c>
      <c r="J273" s="1">
        <v>1548.7225940000001</v>
      </c>
      <c r="K273" s="1">
        <v>0</v>
      </c>
      <c r="L273" s="1">
        <v>0</v>
      </c>
      <c r="M273" s="1" t="s">
        <v>43</v>
      </c>
      <c r="N273" s="1" t="s">
        <v>44</v>
      </c>
      <c r="O273" s="1" t="s">
        <v>44</v>
      </c>
      <c r="P273" s="2">
        <f t="shared" si="8"/>
        <v>0</v>
      </c>
      <c r="Q273" s="2">
        <f t="shared" si="9"/>
        <v>0</v>
      </c>
    </row>
    <row r="274" spans="1:17" ht="12.5" x14ac:dyDescent="0.25">
      <c r="A274" s="1" t="s">
        <v>51</v>
      </c>
      <c r="B274" s="1" t="s">
        <v>16</v>
      </c>
      <c r="C274" s="1" t="s">
        <v>56</v>
      </c>
      <c r="D274" s="1" t="s">
        <v>41</v>
      </c>
      <c r="E274" s="1">
        <v>292.997184</v>
      </c>
      <c r="F274" s="1">
        <v>8</v>
      </c>
      <c r="G274" s="1">
        <v>977</v>
      </c>
      <c r="H274" s="1">
        <v>36.624648000000001</v>
      </c>
      <c r="I274" s="1">
        <v>8.1880000000000008E-3</v>
      </c>
      <c r="J274" s="1">
        <v>299.89476400000001</v>
      </c>
      <c r="K274" s="1">
        <v>0</v>
      </c>
      <c r="L274" s="1">
        <v>0</v>
      </c>
      <c r="M274" s="1" t="s">
        <v>43</v>
      </c>
      <c r="N274" s="1" t="s">
        <v>44</v>
      </c>
      <c r="O274" s="1" t="s">
        <v>44</v>
      </c>
      <c r="P274" s="2">
        <f t="shared" si="8"/>
        <v>0</v>
      </c>
      <c r="Q274" s="2">
        <f t="shared" si="9"/>
        <v>0</v>
      </c>
    </row>
    <row r="275" spans="1:17" ht="12.5" x14ac:dyDescent="0.25">
      <c r="A275" s="1" t="s">
        <v>65</v>
      </c>
      <c r="B275" s="1" t="s">
        <v>16</v>
      </c>
      <c r="C275" s="1" t="s">
        <v>56</v>
      </c>
      <c r="D275" s="1" t="s">
        <v>41</v>
      </c>
      <c r="E275" s="1">
        <v>205.90675100000001</v>
      </c>
      <c r="F275" s="1">
        <v>7</v>
      </c>
      <c r="G275" s="1">
        <v>537</v>
      </c>
      <c r="H275" s="1">
        <v>29.41525</v>
      </c>
      <c r="I275" s="1">
        <v>1.3035E-2</v>
      </c>
      <c r="J275" s="1">
        <v>383.43901499999998</v>
      </c>
      <c r="K275" s="1">
        <v>0</v>
      </c>
      <c r="L275" s="1">
        <v>0</v>
      </c>
      <c r="M275" s="1" t="s">
        <v>43</v>
      </c>
      <c r="N275" s="1" t="s">
        <v>44</v>
      </c>
      <c r="O275" s="1" t="s">
        <v>44</v>
      </c>
      <c r="P275" s="2">
        <f t="shared" si="8"/>
        <v>0</v>
      </c>
      <c r="Q275" s="2">
        <f t="shared" si="9"/>
        <v>0</v>
      </c>
    </row>
    <row r="276" spans="1:17" ht="12.5" x14ac:dyDescent="0.25">
      <c r="A276" s="1" t="s">
        <v>52</v>
      </c>
      <c r="B276" s="1" t="s">
        <v>16</v>
      </c>
      <c r="C276" s="1" t="s">
        <v>56</v>
      </c>
      <c r="D276" s="1" t="s">
        <v>41</v>
      </c>
      <c r="E276" s="1">
        <v>1276.8142250000001</v>
      </c>
      <c r="F276" s="1">
        <v>21</v>
      </c>
      <c r="G276" s="1">
        <v>1549</v>
      </c>
      <c r="H276" s="1">
        <v>60.800677</v>
      </c>
      <c r="I276" s="1">
        <v>1.3557E-2</v>
      </c>
      <c r="J276" s="1">
        <v>824.28290800000002</v>
      </c>
      <c r="K276" s="1">
        <v>0</v>
      </c>
      <c r="L276" s="1">
        <v>0</v>
      </c>
      <c r="M276" s="1" t="s">
        <v>43</v>
      </c>
      <c r="N276" s="1" t="s">
        <v>44</v>
      </c>
      <c r="O276" s="1" t="s">
        <v>44</v>
      </c>
      <c r="P276" s="2">
        <f t="shared" si="8"/>
        <v>0</v>
      </c>
      <c r="Q276" s="2">
        <f t="shared" si="9"/>
        <v>0</v>
      </c>
    </row>
    <row r="277" spans="1:17" ht="12.5" x14ac:dyDescent="0.25">
      <c r="A277" s="1" t="s">
        <v>53</v>
      </c>
      <c r="B277" s="1" t="s">
        <v>16</v>
      </c>
      <c r="C277" s="1" t="s">
        <v>56</v>
      </c>
      <c r="D277" s="1" t="s">
        <v>41</v>
      </c>
      <c r="E277" s="1">
        <v>697.67578400000002</v>
      </c>
      <c r="F277" s="1">
        <v>17</v>
      </c>
      <c r="G277" s="1">
        <v>1135</v>
      </c>
      <c r="H277" s="1">
        <v>41.039752</v>
      </c>
      <c r="I277" s="1">
        <v>1.4978E-2</v>
      </c>
      <c r="J277" s="1">
        <v>614.69232099999999</v>
      </c>
      <c r="K277" s="1">
        <v>1</v>
      </c>
      <c r="L277" s="1">
        <v>23100</v>
      </c>
      <c r="M277" s="1" t="s">
        <v>43</v>
      </c>
      <c r="N277" s="1" t="s">
        <v>44</v>
      </c>
      <c r="O277" s="1" t="s">
        <v>44</v>
      </c>
      <c r="P277" s="2">
        <f t="shared" si="8"/>
        <v>4.329004329004329E-5</v>
      </c>
      <c r="Q277" s="2">
        <f t="shared" si="9"/>
        <v>697.67578400000002</v>
      </c>
    </row>
    <row r="278" spans="1:17" ht="12.5" x14ac:dyDescent="0.25">
      <c r="A278" s="1" t="s">
        <v>54</v>
      </c>
      <c r="B278" s="1" t="s">
        <v>16</v>
      </c>
      <c r="C278" s="1" t="s">
        <v>56</v>
      </c>
      <c r="D278" s="1" t="s">
        <v>41</v>
      </c>
      <c r="E278" s="1">
        <v>482.32965799999999</v>
      </c>
      <c r="F278" s="1">
        <v>13</v>
      </c>
      <c r="G278" s="1">
        <v>1361</v>
      </c>
      <c r="H278" s="1">
        <v>37.102280999999998</v>
      </c>
      <c r="I278" s="1">
        <v>9.5519999999999997E-3</v>
      </c>
      <c r="J278" s="1">
        <v>354.39357699999999</v>
      </c>
      <c r="K278" s="1">
        <v>0</v>
      </c>
      <c r="L278" s="1">
        <v>0</v>
      </c>
      <c r="M278" s="1" t="s">
        <v>43</v>
      </c>
      <c r="N278" s="1" t="s">
        <v>44</v>
      </c>
      <c r="O278" s="1" t="s">
        <v>44</v>
      </c>
      <c r="P278" s="2">
        <f t="shared" si="8"/>
        <v>0</v>
      </c>
      <c r="Q278" s="2">
        <f t="shared" si="9"/>
        <v>0</v>
      </c>
    </row>
    <row r="279" spans="1:17" ht="12.5" x14ac:dyDescent="0.25">
      <c r="A279" s="1" t="s">
        <v>55</v>
      </c>
      <c r="B279" s="1" t="s">
        <v>16</v>
      </c>
      <c r="C279" s="1" t="s">
        <v>56</v>
      </c>
      <c r="D279" s="1" t="s">
        <v>41</v>
      </c>
      <c r="E279" s="1">
        <v>456.76</v>
      </c>
      <c r="F279" s="1">
        <v>19</v>
      </c>
      <c r="G279" s="1">
        <v>1302</v>
      </c>
      <c r="H279" s="1">
        <v>24.04</v>
      </c>
      <c r="I279" s="1">
        <v>1.4593E-2</v>
      </c>
      <c r="J279" s="1">
        <v>350.81413199999997</v>
      </c>
      <c r="K279" s="1">
        <v>0</v>
      </c>
      <c r="L279" s="1">
        <v>0</v>
      </c>
      <c r="M279" s="1" t="s">
        <v>43</v>
      </c>
      <c r="N279" s="1" t="s">
        <v>44</v>
      </c>
      <c r="O279" s="1" t="s">
        <v>44</v>
      </c>
      <c r="P279" s="2">
        <f t="shared" si="8"/>
        <v>0</v>
      </c>
      <c r="Q279" s="2">
        <f t="shared" si="9"/>
        <v>0</v>
      </c>
    </row>
    <row r="280" spans="1:17" ht="12.5" x14ac:dyDescent="0.25">
      <c r="A280" s="1" t="s">
        <v>65</v>
      </c>
      <c r="B280" s="1" t="s">
        <v>16</v>
      </c>
      <c r="C280" s="1" t="s">
        <v>56</v>
      </c>
      <c r="D280" s="1" t="s">
        <v>41</v>
      </c>
      <c r="E280" s="1">
        <v>0</v>
      </c>
      <c r="F280" s="1">
        <v>0</v>
      </c>
      <c r="G280" s="1">
        <v>86</v>
      </c>
      <c r="I280" s="1">
        <v>0</v>
      </c>
      <c r="J280" s="1">
        <v>0</v>
      </c>
      <c r="K280" s="1">
        <v>0</v>
      </c>
      <c r="L280" s="1">
        <v>0</v>
      </c>
      <c r="M280" s="1" t="s">
        <v>19</v>
      </c>
      <c r="N280" s="1" t="s">
        <v>47</v>
      </c>
      <c r="O280" s="1" t="s">
        <v>47</v>
      </c>
      <c r="P280" s="2">
        <f t="shared" si="8"/>
        <v>0</v>
      </c>
      <c r="Q280" s="2">
        <f t="shared" si="9"/>
        <v>0</v>
      </c>
    </row>
    <row r="281" spans="1:17" ht="12.5" x14ac:dyDescent="0.25">
      <c r="A281" s="1" t="s">
        <v>64</v>
      </c>
      <c r="B281" s="1" t="s">
        <v>16</v>
      </c>
      <c r="C281" s="1" t="s">
        <v>56</v>
      </c>
      <c r="D281" s="1" t="s">
        <v>41</v>
      </c>
      <c r="E281" s="1">
        <v>0</v>
      </c>
      <c r="F281" s="1">
        <v>0</v>
      </c>
      <c r="G281" s="1">
        <v>14</v>
      </c>
      <c r="I281" s="1">
        <v>0</v>
      </c>
      <c r="J281" s="1">
        <v>0</v>
      </c>
      <c r="K281" s="1">
        <v>0</v>
      </c>
      <c r="L281" s="1">
        <v>0</v>
      </c>
      <c r="M281" s="1" t="s">
        <v>19</v>
      </c>
      <c r="N281" s="1" t="s">
        <v>20</v>
      </c>
      <c r="O281" s="1" t="s">
        <v>20</v>
      </c>
      <c r="P281" s="2">
        <f t="shared" si="8"/>
        <v>0</v>
      </c>
      <c r="Q281" s="2">
        <f t="shared" si="9"/>
        <v>0</v>
      </c>
    </row>
    <row r="282" spans="1:17" ht="12.5" x14ac:dyDescent="0.25">
      <c r="A282" s="1" t="s">
        <v>64</v>
      </c>
      <c r="B282" s="1" t="s">
        <v>16</v>
      </c>
      <c r="C282" s="1" t="s">
        <v>46</v>
      </c>
      <c r="D282" s="1" t="s">
        <v>41</v>
      </c>
      <c r="E282" s="1">
        <v>0</v>
      </c>
      <c r="F282" s="1">
        <v>0</v>
      </c>
      <c r="G282" s="1">
        <v>4</v>
      </c>
      <c r="I282" s="1">
        <v>0</v>
      </c>
      <c r="J282" s="1">
        <v>0</v>
      </c>
      <c r="K282" s="1">
        <v>0</v>
      </c>
      <c r="L282" s="1">
        <v>0</v>
      </c>
      <c r="M282" s="1" t="s">
        <v>19</v>
      </c>
      <c r="N282" s="1" t="s">
        <v>47</v>
      </c>
      <c r="O282" s="1" t="s">
        <v>47</v>
      </c>
      <c r="P282" s="2">
        <f t="shared" si="8"/>
        <v>0</v>
      </c>
      <c r="Q282" s="2">
        <f t="shared" si="9"/>
        <v>0</v>
      </c>
    </row>
    <row r="283" spans="1:17" ht="12.5" x14ac:dyDescent="0.25">
      <c r="A283" s="1" t="s">
        <v>64</v>
      </c>
      <c r="B283" s="1" t="s">
        <v>16</v>
      </c>
      <c r="C283" s="1" t="s">
        <v>56</v>
      </c>
      <c r="D283" s="1" t="s">
        <v>41</v>
      </c>
      <c r="E283" s="1">
        <v>0</v>
      </c>
      <c r="F283" s="1">
        <v>0</v>
      </c>
      <c r="G283" s="1">
        <v>12</v>
      </c>
      <c r="I283" s="1">
        <v>0</v>
      </c>
      <c r="J283" s="1">
        <v>0</v>
      </c>
      <c r="K283" s="1">
        <v>0</v>
      </c>
      <c r="L283" s="1">
        <v>0</v>
      </c>
      <c r="M283" s="1" t="s">
        <v>19</v>
      </c>
      <c r="N283" s="1" t="s">
        <v>47</v>
      </c>
      <c r="O283" s="1" t="s">
        <v>47</v>
      </c>
      <c r="P283" s="2">
        <f t="shared" si="8"/>
        <v>0</v>
      </c>
      <c r="Q283" s="2">
        <f t="shared" si="9"/>
        <v>0</v>
      </c>
    </row>
    <row r="284" spans="1:17" ht="12.5" x14ac:dyDescent="0.25">
      <c r="A284" s="1" t="s">
        <v>51</v>
      </c>
      <c r="B284" s="1" t="s">
        <v>16</v>
      </c>
      <c r="C284" s="1" t="s">
        <v>56</v>
      </c>
      <c r="D284" s="1" t="s">
        <v>41</v>
      </c>
      <c r="E284" s="1">
        <v>0</v>
      </c>
      <c r="F284" s="1">
        <v>0</v>
      </c>
      <c r="G284" s="1">
        <v>82</v>
      </c>
      <c r="I284" s="1">
        <v>0</v>
      </c>
      <c r="J284" s="1">
        <v>0</v>
      </c>
      <c r="K284" s="1">
        <v>0</v>
      </c>
      <c r="L284" s="1">
        <v>0</v>
      </c>
      <c r="M284" s="1" t="s">
        <v>19</v>
      </c>
      <c r="N284" s="1" t="s">
        <v>69</v>
      </c>
      <c r="O284" s="1" t="s">
        <v>69</v>
      </c>
      <c r="P284" s="2">
        <f t="shared" si="8"/>
        <v>0</v>
      </c>
      <c r="Q284" s="2">
        <f t="shared" si="9"/>
        <v>0</v>
      </c>
    </row>
    <row r="285" spans="1:17" ht="12.5" x14ac:dyDescent="0.25">
      <c r="A285" s="3">
        <v>46150</v>
      </c>
      <c r="B285" s="1" t="s">
        <v>16</v>
      </c>
      <c r="C285" s="1" t="s">
        <v>46</v>
      </c>
      <c r="D285" s="1" t="s">
        <v>41</v>
      </c>
      <c r="E285" s="1">
        <v>337.76</v>
      </c>
      <c r="F285" s="1">
        <v>3</v>
      </c>
      <c r="G285" s="1">
        <v>6</v>
      </c>
      <c r="H285" s="1">
        <v>112.58666700000001</v>
      </c>
      <c r="I285" s="1">
        <v>0.5</v>
      </c>
      <c r="J285" s="1">
        <v>56293.333330000001</v>
      </c>
      <c r="K285" s="1">
        <v>1</v>
      </c>
      <c r="L285" s="1">
        <v>20500</v>
      </c>
      <c r="M285" s="1" t="s">
        <v>19</v>
      </c>
      <c r="N285" s="1" t="s">
        <v>47</v>
      </c>
      <c r="O285" s="1" t="s">
        <v>47</v>
      </c>
      <c r="P285" s="2">
        <f t="shared" si="8"/>
        <v>4.8780487804878051E-5</v>
      </c>
      <c r="Q285" s="2">
        <f t="shared" si="9"/>
        <v>337.76</v>
      </c>
    </row>
    <row r="286" spans="1:17" ht="12.5" x14ac:dyDescent="0.25">
      <c r="A286" s="3">
        <v>46181</v>
      </c>
      <c r="B286" s="1" t="s">
        <v>16</v>
      </c>
      <c r="C286" s="1" t="s">
        <v>46</v>
      </c>
      <c r="D286" s="1" t="s">
        <v>41</v>
      </c>
      <c r="E286" s="1">
        <v>125.55</v>
      </c>
      <c r="F286" s="1">
        <v>2</v>
      </c>
      <c r="G286" s="1">
        <v>5</v>
      </c>
      <c r="H286" s="1">
        <v>62.774999999999999</v>
      </c>
      <c r="I286" s="1">
        <v>0.4</v>
      </c>
      <c r="J286" s="1">
        <v>25110</v>
      </c>
      <c r="K286" s="1">
        <v>0</v>
      </c>
      <c r="L286" s="1">
        <v>0</v>
      </c>
      <c r="M286" s="1" t="s">
        <v>19</v>
      </c>
      <c r="N286" s="1" t="s">
        <v>47</v>
      </c>
      <c r="O286" s="1" t="s">
        <v>47</v>
      </c>
      <c r="P286" s="2">
        <f t="shared" si="8"/>
        <v>0</v>
      </c>
      <c r="Q286" s="2">
        <f t="shared" si="9"/>
        <v>0</v>
      </c>
    </row>
    <row r="287" spans="1:17" ht="12.5" x14ac:dyDescent="0.25">
      <c r="A287" s="3">
        <v>46211</v>
      </c>
      <c r="B287" s="1" t="s">
        <v>16</v>
      </c>
      <c r="C287" s="1" t="s">
        <v>46</v>
      </c>
      <c r="D287" s="1" t="s">
        <v>41</v>
      </c>
      <c r="E287" s="1">
        <v>10.72</v>
      </c>
      <c r="F287" s="1">
        <v>1</v>
      </c>
      <c r="G287" s="1">
        <v>1</v>
      </c>
      <c r="H287" s="1">
        <v>10.72</v>
      </c>
      <c r="I287" s="1">
        <v>1</v>
      </c>
      <c r="J287" s="1">
        <v>10720</v>
      </c>
      <c r="K287" s="1">
        <v>0</v>
      </c>
      <c r="L287" s="1">
        <v>0</v>
      </c>
      <c r="M287" s="1" t="s">
        <v>19</v>
      </c>
      <c r="N287" s="1" t="s">
        <v>47</v>
      </c>
      <c r="O287" s="1" t="s">
        <v>47</v>
      </c>
      <c r="P287" s="2">
        <f t="shared" si="8"/>
        <v>0</v>
      </c>
      <c r="Q287" s="2">
        <f t="shared" si="9"/>
        <v>0</v>
      </c>
    </row>
    <row r="288" spans="1:17" ht="12.5" x14ac:dyDescent="0.25">
      <c r="A288" s="3">
        <v>46242</v>
      </c>
      <c r="B288" s="1" t="s">
        <v>16</v>
      </c>
      <c r="C288" s="1" t="s">
        <v>46</v>
      </c>
      <c r="D288" s="1" t="s">
        <v>41</v>
      </c>
      <c r="E288" s="1">
        <v>2.7</v>
      </c>
      <c r="F288" s="1">
        <v>2</v>
      </c>
      <c r="G288" s="1">
        <v>7</v>
      </c>
      <c r="H288" s="1">
        <v>1.35</v>
      </c>
      <c r="I288" s="1">
        <v>0.28571400000000002</v>
      </c>
      <c r="J288" s="1">
        <v>385.71428600000002</v>
      </c>
      <c r="K288" s="1">
        <v>0</v>
      </c>
      <c r="L288" s="1">
        <v>0</v>
      </c>
      <c r="M288" s="1" t="s">
        <v>19</v>
      </c>
      <c r="N288" s="1" t="s">
        <v>47</v>
      </c>
      <c r="O288" s="1" t="s">
        <v>47</v>
      </c>
      <c r="P288" s="2">
        <f t="shared" si="8"/>
        <v>0</v>
      </c>
      <c r="Q288" s="2">
        <f t="shared" si="9"/>
        <v>0</v>
      </c>
    </row>
    <row r="289" spans="1:17" ht="12.5" x14ac:dyDescent="0.25">
      <c r="A289" s="3">
        <v>46273</v>
      </c>
      <c r="B289" s="1" t="s">
        <v>16</v>
      </c>
      <c r="C289" s="1" t="s">
        <v>46</v>
      </c>
      <c r="D289" s="1" t="s">
        <v>41</v>
      </c>
      <c r="E289" s="1">
        <v>0.12049600000000001</v>
      </c>
      <c r="F289" s="1">
        <v>1</v>
      </c>
      <c r="G289" s="1">
        <v>5</v>
      </c>
      <c r="H289" s="1">
        <v>0.12049600000000001</v>
      </c>
      <c r="I289" s="1">
        <v>0.2</v>
      </c>
      <c r="J289" s="1">
        <v>24.0992</v>
      </c>
      <c r="K289" s="1">
        <v>0</v>
      </c>
      <c r="L289" s="1">
        <v>0</v>
      </c>
      <c r="M289" s="1" t="s">
        <v>19</v>
      </c>
      <c r="N289" s="1" t="s">
        <v>47</v>
      </c>
      <c r="O289" s="1" t="s">
        <v>47</v>
      </c>
      <c r="P289" s="2">
        <f t="shared" si="8"/>
        <v>0</v>
      </c>
      <c r="Q289" s="2">
        <f t="shared" si="9"/>
        <v>0</v>
      </c>
    </row>
    <row r="290" spans="1:17" ht="12.5" x14ac:dyDescent="0.25">
      <c r="A290" s="3">
        <v>46303</v>
      </c>
      <c r="B290" s="1" t="s">
        <v>16</v>
      </c>
      <c r="C290" s="1" t="s">
        <v>46</v>
      </c>
      <c r="D290" s="1" t="s">
        <v>41</v>
      </c>
      <c r="E290" s="1">
        <v>243.53</v>
      </c>
      <c r="F290" s="1">
        <v>2</v>
      </c>
      <c r="G290" s="1">
        <v>8</v>
      </c>
      <c r="H290" s="1">
        <v>121.765</v>
      </c>
      <c r="I290" s="1">
        <v>0.25</v>
      </c>
      <c r="J290" s="1">
        <v>30441.25</v>
      </c>
      <c r="K290" s="1">
        <v>0</v>
      </c>
      <c r="L290" s="1">
        <v>0</v>
      </c>
      <c r="M290" s="1" t="s">
        <v>19</v>
      </c>
      <c r="N290" s="1" t="s">
        <v>47</v>
      </c>
      <c r="O290" s="1" t="s">
        <v>47</v>
      </c>
      <c r="P290" s="2">
        <f t="shared" si="8"/>
        <v>0</v>
      </c>
      <c r="Q290" s="2">
        <f t="shared" si="9"/>
        <v>0</v>
      </c>
    </row>
    <row r="291" spans="1:17" ht="12.5" x14ac:dyDescent="0.25">
      <c r="A291" s="3">
        <v>46334</v>
      </c>
      <c r="B291" s="1" t="s">
        <v>16</v>
      </c>
      <c r="C291" s="1" t="s">
        <v>46</v>
      </c>
      <c r="D291" s="1" t="s">
        <v>41</v>
      </c>
      <c r="E291" s="1">
        <v>8.08</v>
      </c>
      <c r="F291" s="1">
        <v>1</v>
      </c>
      <c r="G291" s="1">
        <v>3</v>
      </c>
      <c r="H291" s="1">
        <v>8.08</v>
      </c>
      <c r="I291" s="1">
        <v>0.33333299999999999</v>
      </c>
      <c r="J291" s="1">
        <v>2693.333333</v>
      </c>
      <c r="K291" s="1">
        <v>0</v>
      </c>
      <c r="L291" s="1">
        <v>0</v>
      </c>
      <c r="M291" s="1" t="s">
        <v>19</v>
      </c>
      <c r="N291" s="1" t="s">
        <v>47</v>
      </c>
      <c r="O291" s="1" t="s">
        <v>47</v>
      </c>
      <c r="P291" s="2">
        <f t="shared" si="8"/>
        <v>0</v>
      </c>
      <c r="Q291" s="2">
        <f t="shared" si="9"/>
        <v>0</v>
      </c>
    </row>
    <row r="292" spans="1:17" ht="12.5" x14ac:dyDescent="0.25">
      <c r="A292" s="1" t="s">
        <v>70</v>
      </c>
      <c r="B292" s="1" t="s">
        <v>16</v>
      </c>
      <c r="C292" s="1" t="s">
        <v>46</v>
      </c>
      <c r="D292" s="1" t="s">
        <v>41</v>
      </c>
      <c r="E292" s="1">
        <v>2.7</v>
      </c>
      <c r="F292" s="1">
        <v>2</v>
      </c>
      <c r="G292" s="1">
        <v>5</v>
      </c>
      <c r="H292" s="1">
        <v>1.35</v>
      </c>
      <c r="I292" s="1">
        <v>0.4</v>
      </c>
      <c r="J292" s="1">
        <v>540</v>
      </c>
      <c r="K292" s="1">
        <v>0</v>
      </c>
      <c r="L292" s="1">
        <v>0</v>
      </c>
      <c r="M292" s="1" t="s">
        <v>19</v>
      </c>
      <c r="N292" s="1" t="s">
        <v>47</v>
      </c>
      <c r="O292" s="1" t="s">
        <v>47</v>
      </c>
      <c r="P292" s="2">
        <f t="shared" si="8"/>
        <v>0</v>
      </c>
      <c r="Q292" s="2">
        <f t="shared" si="9"/>
        <v>0</v>
      </c>
    </row>
    <row r="293" spans="1:17" ht="12.5" x14ac:dyDescent="0.25">
      <c r="A293" s="1" t="s">
        <v>71</v>
      </c>
      <c r="B293" s="1" t="s">
        <v>16</v>
      </c>
      <c r="C293" s="1" t="s">
        <v>46</v>
      </c>
      <c r="D293" s="1" t="s">
        <v>41</v>
      </c>
      <c r="E293" s="1">
        <v>95.844865999999996</v>
      </c>
      <c r="F293" s="1">
        <v>6</v>
      </c>
      <c r="G293" s="1">
        <v>19</v>
      </c>
      <c r="H293" s="1">
        <v>15.974144000000001</v>
      </c>
      <c r="I293" s="1">
        <v>0.31578899999999999</v>
      </c>
      <c r="J293" s="1">
        <v>5044.4666319999997</v>
      </c>
      <c r="K293" s="1">
        <v>0</v>
      </c>
      <c r="L293" s="1">
        <v>0</v>
      </c>
      <c r="M293" s="1" t="s">
        <v>19</v>
      </c>
      <c r="N293" s="1" t="s">
        <v>47</v>
      </c>
      <c r="O293" s="1" t="s">
        <v>47</v>
      </c>
      <c r="P293" s="2">
        <f t="shared" si="8"/>
        <v>0</v>
      </c>
      <c r="Q293" s="2">
        <f t="shared" si="9"/>
        <v>0</v>
      </c>
    </row>
    <row r="294" spans="1:17" ht="12.5" x14ac:dyDescent="0.25">
      <c r="A294" s="1" t="s">
        <v>72</v>
      </c>
      <c r="B294" s="1" t="s">
        <v>16</v>
      </c>
      <c r="C294" s="1" t="s">
        <v>46</v>
      </c>
      <c r="D294" s="1" t="s">
        <v>41</v>
      </c>
      <c r="E294" s="1">
        <v>180.55</v>
      </c>
      <c r="F294" s="1">
        <v>6</v>
      </c>
      <c r="G294" s="1">
        <v>13</v>
      </c>
      <c r="H294" s="1">
        <v>30.091667000000001</v>
      </c>
      <c r="I294" s="1">
        <v>0.461538</v>
      </c>
      <c r="J294" s="1">
        <v>13888.46154</v>
      </c>
      <c r="K294" s="1">
        <v>0</v>
      </c>
      <c r="L294" s="1">
        <v>0</v>
      </c>
      <c r="M294" s="1" t="s">
        <v>19</v>
      </c>
      <c r="N294" s="1" t="s">
        <v>47</v>
      </c>
      <c r="O294" s="1" t="s">
        <v>47</v>
      </c>
      <c r="P294" s="2">
        <f t="shared" si="8"/>
        <v>0</v>
      </c>
      <c r="Q294" s="2">
        <f t="shared" si="9"/>
        <v>0</v>
      </c>
    </row>
    <row r="295" spans="1:17" ht="12.5" x14ac:dyDescent="0.25">
      <c r="A295" s="1" t="s">
        <v>73</v>
      </c>
      <c r="B295" s="1" t="s">
        <v>16</v>
      </c>
      <c r="C295" s="1" t="s">
        <v>46</v>
      </c>
      <c r="D295" s="1" t="s">
        <v>41</v>
      </c>
      <c r="E295" s="1">
        <v>2.72</v>
      </c>
      <c r="F295" s="1">
        <v>2</v>
      </c>
      <c r="G295" s="1">
        <v>10</v>
      </c>
      <c r="H295" s="1">
        <v>1.36</v>
      </c>
      <c r="I295" s="1">
        <v>0.2</v>
      </c>
      <c r="J295" s="1">
        <v>272</v>
      </c>
      <c r="K295" s="1">
        <v>0</v>
      </c>
      <c r="L295" s="1">
        <v>0</v>
      </c>
      <c r="M295" s="1" t="s">
        <v>19</v>
      </c>
      <c r="N295" s="1" t="s">
        <v>47</v>
      </c>
      <c r="O295" s="1" t="s">
        <v>47</v>
      </c>
      <c r="P295" s="2">
        <f t="shared" si="8"/>
        <v>0</v>
      </c>
      <c r="Q295" s="2">
        <f t="shared" si="9"/>
        <v>0</v>
      </c>
    </row>
    <row r="296" spans="1:17" ht="12.5" x14ac:dyDescent="0.25">
      <c r="A296" s="1" t="s">
        <v>74</v>
      </c>
      <c r="B296" s="1" t="s">
        <v>16</v>
      </c>
      <c r="C296" s="1" t="s">
        <v>46</v>
      </c>
      <c r="D296" s="1" t="s">
        <v>41</v>
      </c>
      <c r="E296" s="1">
        <v>10.84</v>
      </c>
      <c r="F296" s="1">
        <v>1</v>
      </c>
      <c r="G296" s="1">
        <v>10</v>
      </c>
      <c r="H296" s="1">
        <v>10.84</v>
      </c>
      <c r="I296" s="1">
        <v>0.1</v>
      </c>
      <c r="J296" s="1">
        <v>1084</v>
      </c>
      <c r="K296" s="1">
        <v>0</v>
      </c>
      <c r="L296" s="1">
        <v>0</v>
      </c>
      <c r="M296" s="1" t="s">
        <v>19</v>
      </c>
      <c r="N296" s="1" t="s">
        <v>47</v>
      </c>
      <c r="O296" s="1" t="s">
        <v>47</v>
      </c>
      <c r="P296" s="2">
        <f t="shared" si="8"/>
        <v>0</v>
      </c>
      <c r="Q296" s="2">
        <f t="shared" si="9"/>
        <v>0</v>
      </c>
    </row>
    <row r="297" spans="1:17" ht="12.5" x14ac:dyDescent="0.25">
      <c r="A297" s="1" t="s">
        <v>75</v>
      </c>
      <c r="B297" s="1" t="s">
        <v>16</v>
      </c>
      <c r="C297" s="1" t="s">
        <v>46</v>
      </c>
      <c r="D297" s="1" t="s">
        <v>41</v>
      </c>
      <c r="E297" s="1">
        <v>442.92</v>
      </c>
      <c r="F297" s="1">
        <v>2</v>
      </c>
      <c r="G297" s="1">
        <v>6</v>
      </c>
      <c r="H297" s="1">
        <v>221.46</v>
      </c>
      <c r="I297" s="1">
        <v>0.33333299999999999</v>
      </c>
      <c r="J297" s="1">
        <v>73820</v>
      </c>
      <c r="K297" s="1">
        <v>0</v>
      </c>
      <c r="L297" s="1">
        <v>0</v>
      </c>
      <c r="M297" s="1" t="s">
        <v>19</v>
      </c>
      <c r="N297" s="1" t="s">
        <v>47</v>
      </c>
      <c r="O297" s="1" t="s">
        <v>47</v>
      </c>
      <c r="P297" s="2">
        <f t="shared" si="8"/>
        <v>0</v>
      </c>
      <c r="Q297" s="2">
        <f t="shared" si="9"/>
        <v>0</v>
      </c>
    </row>
    <row r="298" spans="1:17" ht="12.5" x14ac:dyDescent="0.25">
      <c r="A298" s="1" t="s">
        <v>76</v>
      </c>
      <c r="B298" s="1" t="s">
        <v>16</v>
      </c>
      <c r="C298" s="1" t="s">
        <v>46</v>
      </c>
      <c r="D298" s="1" t="s">
        <v>41</v>
      </c>
      <c r="E298" s="1">
        <v>69.150000000000006</v>
      </c>
      <c r="F298" s="1">
        <v>4</v>
      </c>
      <c r="G298" s="1">
        <v>13</v>
      </c>
      <c r="H298" s="1">
        <v>17.287500000000001</v>
      </c>
      <c r="I298" s="1">
        <v>0.30769200000000002</v>
      </c>
      <c r="J298" s="1">
        <v>5319.2307689999998</v>
      </c>
      <c r="K298" s="1">
        <v>0</v>
      </c>
      <c r="L298" s="1">
        <v>0</v>
      </c>
      <c r="M298" s="1" t="s">
        <v>19</v>
      </c>
      <c r="N298" s="1" t="s">
        <v>47</v>
      </c>
      <c r="O298" s="1" t="s">
        <v>47</v>
      </c>
      <c r="P298" s="2">
        <f t="shared" si="8"/>
        <v>0</v>
      </c>
      <c r="Q298" s="2">
        <f t="shared" si="9"/>
        <v>0</v>
      </c>
    </row>
    <row r="299" spans="1:17" ht="12.5" x14ac:dyDescent="0.25">
      <c r="A299" s="1" t="s">
        <v>77</v>
      </c>
      <c r="B299" s="1" t="s">
        <v>16</v>
      </c>
      <c r="C299" s="1" t="s">
        <v>46</v>
      </c>
      <c r="D299" s="1" t="s">
        <v>41</v>
      </c>
      <c r="E299" s="1">
        <v>129.35</v>
      </c>
      <c r="F299" s="1">
        <v>1</v>
      </c>
      <c r="G299" s="1">
        <v>1</v>
      </c>
      <c r="H299" s="1">
        <v>129.35</v>
      </c>
      <c r="I299" s="1">
        <v>1</v>
      </c>
      <c r="J299" s="1">
        <v>129350</v>
      </c>
      <c r="K299" s="1">
        <v>0</v>
      </c>
      <c r="L299" s="1">
        <v>0</v>
      </c>
      <c r="M299" s="1" t="s">
        <v>19</v>
      </c>
      <c r="N299" s="1" t="s">
        <v>47</v>
      </c>
      <c r="O299" s="1" t="s">
        <v>47</v>
      </c>
      <c r="P299" s="2">
        <f t="shared" si="8"/>
        <v>0</v>
      </c>
      <c r="Q299" s="2">
        <f t="shared" si="9"/>
        <v>0</v>
      </c>
    </row>
    <row r="300" spans="1:17" ht="12.5" x14ac:dyDescent="0.25">
      <c r="A300" s="1" t="s">
        <v>78</v>
      </c>
      <c r="B300" s="1" t="s">
        <v>16</v>
      </c>
      <c r="C300" s="1" t="s">
        <v>46</v>
      </c>
      <c r="D300" s="1" t="s">
        <v>41</v>
      </c>
      <c r="E300" s="1">
        <v>368.56</v>
      </c>
      <c r="F300" s="1">
        <v>2</v>
      </c>
      <c r="G300" s="1">
        <v>6</v>
      </c>
      <c r="H300" s="1">
        <v>184.28</v>
      </c>
      <c r="I300" s="1">
        <v>0.33333299999999999</v>
      </c>
      <c r="J300" s="1">
        <v>61426.666669999999</v>
      </c>
      <c r="K300" s="1">
        <v>0</v>
      </c>
      <c r="L300" s="1">
        <v>0</v>
      </c>
      <c r="M300" s="1" t="s">
        <v>19</v>
      </c>
      <c r="N300" s="1" t="s">
        <v>47</v>
      </c>
      <c r="O300" s="1" t="s">
        <v>47</v>
      </c>
      <c r="P300" s="2">
        <f t="shared" si="8"/>
        <v>0</v>
      </c>
      <c r="Q300" s="2">
        <f t="shared" si="9"/>
        <v>0</v>
      </c>
    </row>
    <row r="301" spans="1:17" ht="12.5" x14ac:dyDescent="0.25">
      <c r="A301" s="1" t="s">
        <v>79</v>
      </c>
      <c r="B301" s="1" t="s">
        <v>16</v>
      </c>
      <c r="C301" s="1" t="s">
        <v>46</v>
      </c>
      <c r="D301" s="1" t="s">
        <v>41</v>
      </c>
      <c r="E301" s="1">
        <v>16.48</v>
      </c>
      <c r="F301" s="1">
        <v>2</v>
      </c>
      <c r="G301" s="1">
        <v>11</v>
      </c>
      <c r="H301" s="1">
        <v>8.24</v>
      </c>
      <c r="I301" s="1">
        <v>0.18181800000000001</v>
      </c>
      <c r="J301" s="1">
        <v>1498.181818</v>
      </c>
      <c r="K301" s="1">
        <v>0</v>
      </c>
      <c r="L301" s="1">
        <v>0</v>
      </c>
      <c r="M301" s="1" t="s">
        <v>19</v>
      </c>
      <c r="N301" s="1" t="s">
        <v>47</v>
      </c>
      <c r="O301" s="1" t="s">
        <v>47</v>
      </c>
      <c r="P301" s="2">
        <f t="shared" si="8"/>
        <v>0</v>
      </c>
      <c r="Q301" s="2">
        <f t="shared" si="9"/>
        <v>0</v>
      </c>
    </row>
    <row r="302" spans="1:17" ht="12.5" x14ac:dyDescent="0.25">
      <c r="A302" s="1" t="s">
        <v>80</v>
      </c>
      <c r="B302" s="1" t="s">
        <v>16</v>
      </c>
      <c r="C302" s="1" t="s">
        <v>46</v>
      </c>
      <c r="D302" s="1" t="s">
        <v>41</v>
      </c>
      <c r="E302" s="1">
        <v>18.54</v>
      </c>
      <c r="F302" s="1">
        <v>2</v>
      </c>
      <c r="G302" s="1">
        <v>6</v>
      </c>
      <c r="H302" s="1">
        <v>9.27</v>
      </c>
      <c r="I302" s="1">
        <v>0.33333299999999999</v>
      </c>
      <c r="J302" s="1">
        <v>3090</v>
      </c>
      <c r="K302" s="1">
        <v>0</v>
      </c>
      <c r="L302" s="1">
        <v>0</v>
      </c>
      <c r="M302" s="1" t="s">
        <v>19</v>
      </c>
      <c r="N302" s="1" t="s">
        <v>47</v>
      </c>
      <c r="O302" s="1" t="s">
        <v>47</v>
      </c>
      <c r="P302" s="2">
        <f t="shared" si="8"/>
        <v>0</v>
      </c>
      <c r="Q302" s="2">
        <f t="shared" si="9"/>
        <v>0</v>
      </c>
    </row>
    <row r="303" spans="1:17" ht="12.5" x14ac:dyDescent="0.25">
      <c r="A303" s="1" t="s">
        <v>81</v>
      </c>
      <c r="B303" s="1" t="s">
        <v>16</v>
      </c>
      <c r="C303" s="1" t="s">
        <v>46</v>
      </c>
      <c r="D303" s="1" t="s">
        <v>41</v>
      </c>
      <c r="E303" s="1">
        <v>1.37</v>
      </c>
      <c r="F303" s="1">
        <v>1</v>
      </c>
      <c r="G303" s="1">
        <v>4</v>
      </c>
      <c r="H303" s="1">
        <v>1.37</v>
      </c>
      <c r="I303" s="1">
        <v>0.25</v>
      </c>
      <c r="J303" s="1">
        <v>342.5</v>
      </c>
      <c r="K303" s="1">
        <v>0</v>
      </c>
      <c r="L303" s="1">
        <v>0</v>
      </c>
      <c r="M303" s="1" t="s">
        <v>19</v>
      </c>
      <c r="N303" s="1" t="s">
        <v>47</v>
      </c>
      <c r="O303" s="1" t="s">
        <v>47</v>
      </c>
      <c r="P303" s="2">
        <f t="shared" si="8"/>
        <v>0</v>
      </c>
      <c r="Q303" s="2">
        <f t="shared" si="9"/>
        <v>0</v>
      </c>
    </row>
    <row r="304" spans="1:17" ht="12.5" x14ac:dyDescent="0.25">
      <c r="A304" s="1" t="s">
        <v>82</v>
      </c>
      <c r="B304" s="1" t="s">
        <v>16</v>
      </c>
      <c r="C304" s="1" t="s">
        <v>46</v>
      </c>
      <c r="D304" s="1" t="s">
        <v>41</v>
      </c>
      <c r="E304" s="1">
        <v>24.515467999999998</v>
      </c>
      <c r="F304" s="1">
        <v>1</v>
      </c>
      <c r="G304" s="1">
        <v>6</v>
      </c>
      <c r="H304" s="1">
        <v>24.515467999999998</v>
      </c>
      <c r="I304" s="1">
        <v>0.16666700000000001</v>
      </c>
      <c r="J304" s="1">
        <v>4085.911333</v>
      </c>
      <c r="K304" s="1">
        <v>0</v>
      </c>
      <c r="L304" s="1">
        <v>0</v>
      </c>
      <c r="M304" s="1" t="s">
        <v>19</v>
      </c>
      <c r="N304" s="1" t="s">
        <v>47</v>
      </c>
      <c r="O304" s="1" t="s">
        <v>47</v>
      </c>
      <c r="P304" s="2">
        <f t="shared" si="8"/>
        <v>0</v>
      </c>
      <c r="Q304" s="2">
        <f t="shared" si="9"/>
        <v>0</v>
      </c>
    </row>
    <row r="305" spans="1:17" ht="12.5" x14ac:dyDescent="0.25">
      <c r="A305" s="1" t="s">
        <v>83</v>
      </c>
      <c r="B305" s="1" t="s">
        <v>16</v>
      </c>
      <c r="C305" s="1" t="s">
        <v>46</v>
      </c>
      <c r="D305" s="1" t="s">
        <v>41</v>
      </c>
      <c r="E305" s="1">
        <v>95.2</v>
      </c>
      <c r="F305" s="1">
        <v>4</v>
      </c>
      <c r="G305" s="1">
        <v>9</v>
      </c>
      <c r="H305" s="1">
        <v>23.8</v>
      </c>
      <c r="I305" s="1">
        <v>0.44444400000000001</v>
      </c>
      <c r="J305" s="1">
        <v>10577.77778</v>
      </c>
      <c r="K305" s="1">
        <v>0</v>
      </c>
      <c r="L305" s="1">
        <v>0</v>
      </c>
      <c r="M305" s="1" t="s">
        <v>19</v>
      </c>
      <c r="N305" s="1" t="s">
        <v>47</v>
      </c>
      <c r="O305" s="1" t="s">
        <v>47</v>
      </c>
      <c r="P305" s="2">
        <f t="shared" si="8"/>
        <v>0</v>
      </c>
      <c r="Q305" s="2">
        <f t="shared" si="9"/>
        <v>0</v>
      </c>
    </row>
    <row r="306" spans="1:17" ht="12.5" x14ac:dyDescent="0.25">
      <c r="A306" s="3">
        <v>46150</v>
      </c>
      <c r="B306" s="1" t="s">
        <v>16</v>
      </c>
      <c r="C306" s="1" t="s">
        <v>56</v>
      </c>
      <c r="D306" s="1" t="s">
        <v>41</v>
      </c>
      <c r="E306" s="1">
        <v>4.83</v>
      </c>
      <c r="F306" s="1">
        <v>1</v>
      </c>
      <c r="G306" s="1">
        <v>94</v>
      </c>
      <c r="H306" s="1">
        <v>4.83</v>
      </c>
      <c r="I306" s="1">
        <v>1.0638E-2</v>
      </c>
      <c r="J306" s="1">
        <v>51.382978999999999</v>
      </c>
      <c r="K306" s="1">
        <v>0</v>
      </c>
      <c r="L306" s="1">
        <v>0</v>
      </c>
      <c r="M306" s="1" t="s">
        <v>19</v>
      </c>
      <c r="N306" s="1" t="s">
        <v>47</v>
      </c>
      <c r="O306" s="1" t="s">
        <v>47</v>
      </c>
      <c r="P306" s="2">
        <f t="shared" si="8"/>
        <v>0</v>
      </c>
      <c r="Q306" s="2">
        <f t="shared" si="9"/>
        <v>0</v>
      </c>
    </row>
    <row r="307" spans="1:17" ht="12.5" x14ac:dyDescent="0.25">
      <c r="A307" s="3">
        <v>46181</v>
      </c>
      <c r="B307" s="1" t="s">
        <v>16</v>
      </c>
      <c r="C307" s="1" t="s">
        <v>56</v>
      </c>
      <c r="D307" s="1" t="s">
        <v>41</v>
      </c>
      <c r="E307" s="1">
        <v>53.34</v>
      </c>
      <c r="F307" s="1">
        <v>3</v>
      </c>
      <c r="G307" s="1">
        <v>140</v>
      </c>
      <c r="H307" s="1">
        <v>17.78</v>
      </c>
      <c r="I307" s="1">
        <v>2.1429E-2</v>
      </c>
      <c r="J307" s="1">
        <v>381</v>
      </c>
      <c r="K307" s="1">
        <v>0</v>
      </c>
      <c r="L307" s="1">
        <v>0</v>
      </c>
      <c r="M307" s="1" t="s">
        <v>19</v>
      </c>
      <c r="N307" s="1" t="s">
        <v>47</v>
      </c>
      <c r="O307" s="1" t="s">
        <v>47</v>
      </c>
      <c r="P307" s="2">
        <f t="shared" si="8"/>
        <v>0</v>
      </c>
      <c r="Q307" s="2">
        <f t="shared" si="9"/>
        <v>0</v>
      </c>
    </row>
    <row r="308" spans="1:17" ht="12.5" x14ac:dyDescent="0.25">
      <c r="A308" s="3">
        <v>46211</v>
      </c>
      <c r="B308" s="1" t="s">
        <v>16</v>
      </c>
      <c r="C308" s="1" t="s">
        <v>56</v>
      </c>
      <c r="D308" s="1" t="s">
        <v>41</v>
      </c>
      <c r="E308" s="1">
        <v>108.18</v>
      </c>
      <c r="F308" s="1">
        <v>5</v>
      </c>
      <c r="G308" s="1">
        <v>107</v>
      </c>
      <c r="H308" s="1">
        <v>21.635999999999999</v>
      </c>
      <c r="I308" s="1">
        <v>4.6729E-2</v>
      </c>
      <c r="J308" s="1">
        <v>1011.028037</v>
      </c>
      <c r="K308" s="1">
        <v>0</v>
      </c>
      <c r="L308" s="1">
        <v>0</v>
      </c>
      <c r="M308" s="1" t="s">
        <v>19</v>
      </c>
      <c r="N308" s="1" t="s">
        <v>47</v>
      </c>
      <c r="O308" s="1" t="s">
        <v>47</v>
      </c>
      <c r="P308" s="2">
        <f t="shared" si="8"/>
        <v>0</v>
      </c>
      <c r="Q308" s="2">
        <f t="shared" si="9"/>
        <v>0</v>
      </c>
    </row>
    <row r="309" spans="1:17" ht="12.5" x14ac:dyDescent="0.25">
      <c r="A309" s="3">
        <v>46242</v>
      </c>
      <c r="B309" s="1" t="s">
        <v>16</v>
      </c>
      <c r="C309" s="1" t="s">
        <v>56</v>
      </c>
      <c r="D309" s="1" t="s">
        <v>41</v>
      </c>
      <c r="E309" s="1">
        <v>4.82</v>
      </c>
      <c r="F309" s="1">
        <v>1</v>
      </c>
      <c r="G309" s="1">
        <v>132</v>
      </c>
      <c r="H309" s="1">
        <v>4.82</v>
      </c>
      <c r="I309" s="1">
        <v>7.5760000000000003E-3</v>
      </c>
      <c r="J309" s="1">
        <v>36.515152</v>
      </c>
      <c r="K309" s="1">
        <v>0</v>
      </c>
      <c r="L309" s="1">
        <v>0</v>
      </c>
      <c r="M309" s="1" t="s">
        <v>19</v>
      </c>
      <c r="N309" s="1" t="s">
        <v>47</v>
      </c>
      <c r="O309" s="1" t="s">
        <v>47</v>
      </c>
      <c r="P309" s="2">
        <f t="shared" si="8"/>
        <v>0</v>
      </c>
      <c r="Q309" s="2">
        <f t="shared" si="9"/>
        <v>0</v>
      </c>
    </row>
    <row r="310" spans="1:17" ht="12.5" x14ac:dyDescent="0.25">
      <c r="A310" s="3">
        <v>46273</v>
      </c>
      <c r="B310" s="1" t="s">
        <v>16</v>
      </c>
      <c r="C310" s="1" t="s">
        <v>56</v>
      </c>
      <c r="D310" s="1" t="s">
        <v>41</v>
      </c>
      <c r="E310" s="1">
        <v>44.5</v>
      </c>
      <c r="F310" s="1">
        <v>2</v>
      </c>
      <c r="G310" s="1">
        <v>146</v>
      </c>
      <c r="H310" s="1">
        <v>22.25</v>
      </c>
      <c r="I310" s="1">
        <v>1.3698999999999999E-2</v>
      </c>
      <c r="J310" s="1">
        <v>304.79452099999997</v>
      </c>
      <c r="K310" s="1">
        <v>0</v>
      </c>
      <c r="L310" s="1">
        <v>0</v>
      </c>
      <c r="M310" s="1" t="s">
        <v>19</v>
      </c>
      <c r="N310" s="1" t="s">
        <v>47</v>
      </c>
      <c r="O310" s="1" t="s">
        <v>47</v>
      </c>
      <c r="P310" s="2">
        <f t="shared" si="8"/>
        <v>0</v>
      </c>
      <c r="Q310" s="2">
        <f t="shared" si="9"/>
        <v>0</v>
      </c>
    </row>
    <row r="311" spans="1:17" ht="12.5" x14ac:dyDescent="0.25">
      <c r="A311" s="3">
        <v>46303</v>
      </c>
      <c r="B311" s="1" t="s">
        <v>16</v>
      </c>
      <c r="C311" s="1" t="s">
        <v>56</v>
      </c>
      <c r="D311" s="1" t="s">
        <v>41</v>
      </c>
      <c r="E311" s="1">
        <v>99.03</v>
      </c>
      <c r="F311" s="1">
        <v>4</v>
      </c>
      <c r="G311" s="1">
        <v>188</v>
      </c>
      <c r="H311" s="1">
        <v>24.7575</v>
      </c>
      <c r="I311" s="1">
        <v>2.1277000000000001E-2</v>
      </c>
      <c r="J311" s="1">
        <v>526.75531899999999</v>
      </c>
      <c r="K311" s="1">
        <v>0</v>
      </c>
      <c r="L311" s="1">
        <v>0</v>
      </c>
      <c r="M311" s="1" t="s">
        <v>19</v>
      </c>
      <c r="N311" s="1" t="s">
        <v>47</v>
      </c>
      <c r="O311" s="1" t="s">
        <v>47</v>
      </c>
      <c r="P311" s="2">
        <f t="shared" si="8"/>
        <v>0</v>
      </c>
      <c r="Q311" s="2">
        <f t="shared" si="9"/>
        <v>0</v>
      </c>
    </row>
    <row r="312" spans="1:17" ht="12.5" x14ac:dyDescent="0.25">
      <c r="A312" s="3">
        <v>46334</v>
      </c>
      <c r="B312" s="1" t="s">
        <v>16</v>
      </c>
      <c r="C312" s="1" t="s">
        <v>56</v>
      </c>
      <c r="D312" s="1" t="s">
        <v>41</v>
      </c>
      <c r="E312" s="1">
        <v>21.67</v>
      </c>
      <c r="F312" s="1">
        <v>2</v>
      </c>
      <c r="G312" s="1">
        <v>126</v>
      </c>
      <c r="H312" s="1">
        <v>10.835000000000001</v>
      </c>
      <c r="I312" s="1">
        <v>1.5873000000000002E-2</v>
      </c>
      <c r="J312" s="1">
        <v>171.984127</v>
      </c>
      <c r="K312" s="1">
        <v>0</v>
      </c>
      <c r="L312" s="1">
        <v>0</v>
      </c>
      <c r="M312" s="1" t="s">
        <v>19</v>
      </c>
      <c r="N312" s="1" t="s">
        <v>47</v>
      </c>
      <c r="O312" s="1" t="s">
        <v>47</v>
      </c>
      <c r="P312" s="2">
        <f t="shared" si="8"/>
        <v>0</v>
      </c>
      <c r="Q312" s="2">
        <f t="shared" si="9"/>
        <v>0</v>
      </c>
    </row>
    <row r="313" spans="1:17" ht="12.5" x14ac:dyDescent="0.25">
      <c r="A313" s="1" t="s">
        <v>71</v>
      </c>
      <c r="B313" s="1" t="s">
        <v>16</v>
      </c>
      <c r="C313" s="1" t="s">
        <v>56</v>
      </c>
      <c r="D313" s="1" t="s">
        <v>41</v>
      </c>
      <c r="E313" s="1">
        <v>13.66</v>
      </c>
      <c r="F313" s="1">
        <v>1</v>
      </c>
      <c r="G313" s="1">
        <v>69</v>
      </c>
      <c r="H313" s="1">
        <v>13.66</v>
      </c>
      <c r="I313" s="1">
        <v>1.4493000000000001E-2</v>
      </c>
      <c r="J313" s="1">
        <v>197.971014</v>
      </c>
      <c r="K313" s="1">
        <v>0</v>
      </c>
      <c r="L313" s="1">
        <v>0</v>
      </c>
      <c r="M313" s="1" t="s">
        <v>19</v>
      </c>
      <c r="N313" s="1" t="s">
        <v>47</v>
      </c>
      <c r="O313" s="1" t="s">
        <v>47</v>
      </c>
      <c r="P313" s="2">
        <f t="shared" si="8"/>
        <v>0</v>
      </c>
      <c r="Q313" s="2">
        <f t="shared" si="9"/>
        <v>0</v>
      </c>
    </row>
    <row r="314" spans="1:17" ht="12.5" x14ac:dyDescent="0.25">
      <c r="A314" s="1" t="s">
        <v>73</v>
      </c>
      <c r="B314" s="1" t="s">
        <v>16</v>
      </c>
      <c r="C314" s="1" t="s">
        <v>56</v>
      </c>
      <c r="D314" s="1" t="s">
        <v>41</v>
      </c>
      <c r="E314" s="1">
        <v>16.536328999999999</v>
      </c>
      <c r="F314" s="1">
        <v>1</v>
      </c>
      <c r="G314" s="1">
        <v>72</v>
      </c>
      <c r="H314" s="1">
        <v>16.536328999999999</v>
      </c>
      <c r="I314" s="1">
        <v>1.3889E-2</v>
      </c>
      <c r="J314" s="1">
        <v>229.67123599999999</v>
      </c>
      <c r="K314" s="1">
        <v>0</v>
      </c>
      <c r="L314" s="1">
        <v>0</v>
      </c>
      <c r="M314" s="1" t="s">
        <v>19</v>
      </c>
      <c r="N314" s="1" t="s">
        <v>47</v>
      </c>
      <c r="O314" s="1" t="s">
        <v>47</v>
      </c>
      <c r="P314" s="2">
        <f t="shared" si="8"/>
        <v>0</v>
      </c>
      <c r="Q314" s="2">
        <f t="shared" si="9"/>
        <v>0</v>
      </c>
    </row>
    <row r="315" spans="1:17" ht="12.5" x14ac:dyDescent="0.25">
      <c r="A315" s="1" t="s">
        <v>74</v>
      </c>
      <c r="B315" s="1" t="s">
        <v>16</v>
      </c>
      <c r="C315" s="1" t="s">
        <v>56</v>
      </c>
      <c r="D315" s="1" t="s">
        <v>41</v>
      </c>
      <c r="E315" s="1">
        <v>59.149804000000003</v>
      </c>
      <c r="F315" s="1">
        <v>4</v>
      </c>
      <c r="G315" s="1">
        <v>87</v>
      </c>
      <c r="H315" s="1">
        <v>14.787451000000001</v>
      </c>
      <c r="I315" s="1">
        <v>4.5976999999999997E-2</v>
      </c>
      <c r="J315" s="1">
        <v>679.88280499999996</v>
      </c>
      <c r="K315" s="1">
        <v>0</v>
      </c>
      <c r="L315" s="1">
        <v>0</v>
      </c>
      <c r="M315" s="1" t="s">
        <v>19</v>
      </c>
      <c r="N315" s="1" t="s">
        <v>47</v>
      </c>
      <c r="O315" s="1" t="s">
        <v>47</v>
      </c>
      <c r="P315" s="2">
        <f t="shared" si="8"/>
        <v>0</v>
      </c>
      <c r="Q315" s="2">
        <f t="shared" si="9"/>
        <v>0</v>
      </c>
    </row>
    <row r="316" spans="1:17" ht="12.5" x14ac:dyDescent="0.25">
      <c r="A316" s="1" t="s">
        <v>75</v>
      </c>
      <c r="B316" s="1" t="s">
        <v>16</v>
      </c>
      <c r="C316" s="1" t="s">
        <v>56</v>
      </c>
      <c r="D316" s="1" t="s">
        <v>41</v>
      </c>
      <c r="E316" s="1">
        <v>22.32</v>
      </c>
      <c r="F316" s="1">
        <v>3</v>
      </c>
      <c r="G316" s="1">
        <v>143</v>
      </c>
      <c r="H316" s="1">
        <v>7.44</v>
      </c>
      <c r="I316" s="1">
        <v>2.0979000000000001E-2</v>
      </c>
      <c r="J316" s="1">
        <v>156.08391599999999</v>
      </c>
      <c r="K316" s="1">
        <v>0</v>
      </c>
      <c r="L316" s="1">
        <v>0</v>
      </c>
      <c r="M316" s="1" t="s">
        <v>19</v>
      </c>
      <c r="N316" s="1" t="s">
        <v>47</v>
      </c>
      <c r="O316" s="1" t="s">
        <v>47</v>
      </c>
      <c r="P316" s="2">
        <f t="shared" si="8"/>
        <v>0</v>
      </c>
      <c r="Q316" s="2">
        <f t="shared" si="9"/>
        <v>0</v>
      </c>
    </row>
    <row r="317" spans="1:17" ht="12.5" x14ac:dyDescent="0.25">
      <c r="A317" s="1" t="s">
        <v>76</v>
      </c>
      <c r="B317" s="1" t="s">
        <v>16</v>
      </c>
      <c r="C317" s="1" t="s">
        <v>56</v>
      </c>
      <c r="D317" s="1" t="s">
        <v>41</v>
      </c>
      <c r="E317" s="1">
        <v>63.288013999999997</v>
      </c>
      <c r="F317" s="1">
        <v>5</v>
      </c>
      <c r="G317" s="1">
        <v>514</v>
      </c>
      <c r="H317" s="1">
        <v>12.657603</v>
      </c>
      <c r="I317" s="1">
        <v>9.7280000000000005E-3</v>
      </c>
      <c r="J317" s="1">
        <v>123.128432</v>
      </c>
      <c r="K317" s="1">
        <v>0</v>
      </c>
      <c r="L317" s="1">
        <v>0</v>
      </c>
      <c r="M317" s="1" t="s">
        <v>19</v>
      </c>
      <c r="N317" s="1" t="s">
        <v>47</v>
      </c>
      <c r="O317" s="1" t="s">
        <v>47</v>
      </c>
      <c r="P317" s="2">
        <f t="shared" si="8"/>
        <v>0</v>
      </c>
      <c r="Q317" s="2">
        <f t="shared" si="9"/>
        <v>0</v>
      </c>
    </row>
    <row r="318" spans="1:17" ht="12.5" x14ac:dyDescent="0.25">
      <c r="A318" s="1" t="s">
        <v>84</v>
      </c>
      <c r="B318" s="1" t="s">
        <v>16</v>
      </c>
      <c r="C318" s="1" t="s">
        <v>56</v>
      </c>
      <c r="D318" s="1" t="s">
        <v>41</v>
      </c>
      <c r="E318" s="1">
        <v>437.37161400000002</v>
      </c>
      <c r="F318" s="1">
        <v>6</v>
      </c>
      <c r="G318" s="1">
        <v>268</v>
      </c>
      <c r="H318" s="1">
        <v>72.895268999999999</v>
      </c>
      <c r="I318" s="1">
        <v>2.2388000000000002E-2</v>
      </c>
      <c r="J318" s="1">
        <v>1631.9836339999999</v>
      </c>
      <c r="K318" s="1">
        <v>0</v>
      </c>
      <c r="L318" s="1">
        <v>0</v>
      </c>
      <c r="M318" s="1" t="s">
        <v>19</v>
      </c>
      <c r="N318" s="1" t="s">
        <v>47</v>
      </c>
      <c r="O318" s="1" t="s">
        <v>47</v>
      </c>
      <c r="P318" s="2">
        <f t="shared" si="8"/>
        <v>0</v>
      </c>
      <c r="Q318" s="2">
        <f t="shared" si="9"/>
        <v>0</v>
      </c>
    </row>
    <row r="319" spans="1:17" ht="12.5" x14ac:dyDescent="0.25">
      <c r="A319" s="1" t="s">
        <v>77</v>
      </c>
      <c r="B319" s="1" t="s">
        <v>16</v>
      </c>
      <c r="C319" s="1" t="s">
        <v>56</v>
      </c>
      <c r="D319" s="1" t="s">
        <v>41</v>
      </c>
      <c r="E319" s="1">
        <v>202.437522</v>
      </c>
      <c r="F319" s="1">
        <v>3</v>
      </c>
      <c r="G319" s="1">
        <v>134</v>
      </c>
      <c r="H319" s="1">
        <v>67.479174</v>
      </c>
      <c r="I319" s="1">
        <v>2.2388000000000002E-2</v>
      </c>
      <c r="J319" s="1">
        <v>1510.7277759999999</v>
      </c>
      <c r="K319" s="1">
        <v>0</v>
      </c>
      <c r="L319" s="1">
        <v>0</v>
      </c>
      <c r="M319" s="1" t="s">
        <v>19</v>
      </c>
      <c r="N319" s="1" t="s">
        <v>47</v>
      </c>
      <c r="O319" s="1" t="s">
        <v>47</v>
      </c>
      <c r="P319" s="2">
        <f t="shared" si="8"/>
        <v>0</v>
      </c>
      <c r="Q319" s="2">
        <f t="shared" si="9"/>
        <v>0</v>
      </c>
    </row>
    <row r="320" spans="1:17" ht="12.5" x14ac:dyDescent="0.25">
      <c r="A320" s="1" t="s">
        <v>78</v>
      </c>
      <c r="B320" s="1" t="s">
        <v>16</v>
      </c>
      <c r="C320" s="1" t="s">
        <v>56</v>
      </c>
      <c r="D320" s="1" t="s">
        <v>41</v>
      </c>
      <c r="E320" s="1">
        <v>143.17634899999999</v>
      </c>
      <c r="F320" s="1">
        <v>6</v>
      </c>
      <c r="G320" s="1">
        <v>165</v>
      </c>
      <c r="H320" s="1">
        <v>23.862725000000001</v>
      </c>
      <c r="I320" s="1">
        <v>3.6364E-2</v>
      </c>
      <c r="J320" s="1">
        <v>867.73544800000002</v>
      </c>
      <c r="K320" s="1">
        <v>0</v>
      </c>
      <c r="L320" s="1">
        <v>0</v>
      </c>
      <c r="M320" s="1" t="s">
        <v>19</v>
      </c>
      <c r="N320" s="1" t="s">
        <v>47</v>
      </c>
      <c r="O320" s="1" t="s">
        <v>47</v>
      </c>
      <c r="P320" s="2">
        <f t="shared" si="8"/>
        <v>0</v>
      </c>
      <c r="Q320" s="2">
        <f t="shared" si="9"/>
        <v>0</v>
      </c>
    </row>
    <row r="321" spans="1:17" ht="12.5" x14ac:dyDescent="0.25">
      <c r="A321" s="1" t="s">
        <v>79</v>
      </c>
      <c r="B321" s="1" t="s">
        <v>16</v>
      </c>
      <c r="C321" s="1" t="s">
        <v>56</v>
      </c>
      <c r="D321" s="1" t="s">
        <v>41</v>
      </c>
      <c r="E321" s="1">
        <v>191.30766800000001</v>
      </c>
      <c r="F321" s="1">
        <v>4</v>
      </c>
      <c r="G321" s="1">
        <v>337</v>
      </c>
      <c r="H321" s="1">
        <v>47.826917000000002</v>
      </c>
      <c r="I321" s="1">
        <v>1.1868999999999999E-2</v>
      </c>
      <c r="J321" s="1">
        <v>567.67854</v>
      </c>
      <c r="K321" s="1">
        <v>0</v>
      </c>
      <c r="L321" s="1">
        <v>0</v>
      </c>
      <c r="M321" s="1" t="s">
        <v>19</v>
      </c>
      <c r="N321" s="1" t="s">
        <v>47</v>
      </c>
      <c r="O321" s="1" t="s">
        <v>47</v>
      </c>
      <c r="P321" s="2">
        <f t="shared" si="8"/>
        <v>0</v>
      </c>
      <c r="Q321" s="2">
        <f t="shared" si="9"/>
        <v>0</v>
      </c>
    </row>
    <row r="322" spans="1:17" ht="12.5" x14ac:dyDescent="0.25">
      <c r="A322" s="1" t="s">
        <v>82</v>
      </c>
      <c r="B322" s="1" t="s">
        <v>16</v>
      </c>
      <c r="C322" s="1" t="s">
        <v>56</v>
      </c>
      <c r="D322" s="1" t="s">
        <v>41</v>
      </c>
      <c r="E322" s="1">
        <v>9</v>
      </c>
      <c r="F322" s="1">
        <v>1</v>
      </c>
      <c r="G322" s="1">
        <v>62</v>
      </c>
      <c r="H322" s="1">
        <v>9</v>
      </c>
      <c r="I322" s="1">
        <v>1.6129000000000001E-2</v>
      </c>
      <c r="J322" s="1">
        <v>145.16129000000001</v>
      </c>
      <c r="K322" s="1">
        <v>0</v>
      </c>
      <c r="L322" s="1">
        <v>0</v>
      </c>
      <c r="M322" s="1" t="s">
        <v>19</v>
      </c>
      <c r="N322" s="1" t="s">
        <v>47</v>
      </c>
      <c r="O322" s="1" t="s">
        <v>47</v>
      </c>
      <c r="P322" s="2">
        <f t="shared" si="8"/>
        <v>0</v>
      </c>
      <c r="Q322" s="2">
        <f t="shared" si="9"/>
        <v>0</v>
      </c>
    </row>
    <row r="323" spans="1:17" ht="12.5" x14ac:dyDescent="0.25">
      <c r="A323" s="3">
        <v>46150</v>
      </c>
      <c r="B323" s="1" t="s">
        <v>16</v>
      </c>
      <c r="C323" s="1" t="s">
        <v>46</v>
      </c>
      <c r="D323" s="1" t="s">
        <v>41</v>
      </c>
      <c r="E323" s="1">
        <v>34.540441999999999</v>
      </c>
      <c r="F323" s="1">
        <v>4</v>
      </c>
      <c r="G323" s="1">
        <v>14</v>
      </c>
      <c r="H323" s="1">
        <v>8.6351110000000002</v>
      </c>
      <c r="I323" s="1">
        <v>0.28571400000000002</v>
      </c>
      <c r="J323" s="1">
        <v>2467.1744290000001</v>
      </c>
      <c r="K323" s="1">
        <v>0</v>
      </c>
      <c r="L323" s="1">
        <v>0</v>
      </c>
      <c r="M323" s="1" t="s">
        <v>19</v>
      </c>
      <c r="N323" s="1" t="s">
        <v>20</v>
      </c>
      <c r="O323" s="1" t="s">
        <v>20</v>
      </c>
      <c r="P323" s="2">
        <f t="shared" ref="P323:P386" si="10">IFERROR(K323/ L323, 0)</f>
        <v>0</v>
      </c>
      <c r="Q323" s="2">
        <f t="shared" ref="Q323:Q386" si="11">IFERROR(E323/K323, 0)</f>
        <v>0</v>
      </c>
    </row>
    <row r="324" spans="1:17" ht="12.5" x14ac:dyDescent="0.25">
      <c r="A324" s="3">
        <v>46181</v>
      </c>
      <c r="B324" s="1" t="s">
        <v>16</v>
      </c>
      <c r="C324" s="1" t="s">
        <v>46</v>
      </c>
      <c r="D324" s="1" t="s">
        <v>41</v>
      </c>
      <c r="E324" s="1">
        <v>50.94</v>
      </c>
      <c r="F324" s="1">
        <v>7</v>
      </c>
      <c r="G324" s="1">
        <v>21</v>
      </c>
      <c r="H324" s="1">
        <v>7.2771429999999997</v>
      </c>
      <c r="I324" s="1">
        <v>0.33333299999999999</v>
      </c>
      <c r="J324" s="1">
        <v>2425.7142859999999</v>
      </c>
      <c r="K324" s="1">
        <v>0</v>
      </c>
      <c r="L324" s="1">
        <v>0</v>
      </c>
      <c r="M324" s="1" t="s">
        <v>19</v>
      </c>
      <c r="N324" s="1" t="s">
        <v>20</v>
      </c>
      <c r="O324" s="1" t="s">
        <v>20</v>
      </c>
      <c r="P324" s="2">
        <f t="shared" si="10"/>
        <v>0</v>
      </c>
      <c r="Q324" s="2">
        <f t="shared" si="11"/>
        <v>0</v>
      </c>
    </row>
    <row r="325" spans="1:17" ht="12.5" x14ac:dyDescent="0.25">
      <c r="A325" s="3">
        <v>46211</v>
      </c>
      <c r="B325" s="1" t="s">
        <v>16</v>
      </c>
      <c r="C325" s="1" t="s">
        <v>46</v>
      </c>
      <c r="D325" s="1" t="s">
        <v>41</v>
      </c>
      <c r="E325" s="1">
        <v>3.4</v>
      </c>
      <c r="F325" s="1">
        <v>2</v>
      </c>
      <c r="G325" s="1">
        <v>7</v>
      </c>
      <c r="H325" s="1">
        <v>1.7</v>
      </c>
      <c r="I325" s="1">
        <v>0.28571400000000002</v>
      </c>
      <c r="J325" s="1">
        <v>485.71428600000002</v>
      </c>
      <c r="K325" s="1">
        <v>0</v>
      </c>
      <c r="L325" s="1">
        <v>0</v>
      </c>
      <c r="M325" s="1" t="s">
        <v>19</v>
      </c>
      <c r="N325" s="1" t="s">
        <v>20</v>
      </c>
      <c r="O325" s="1" t="s">
        <v>20</v>
      </c>
      <c r="P325" s="2">
        <f t="shared" si="10"/>
        <v>0</v>
      </c>
      <c r="Q325" s="2">
        <f t="shared" si="11"/>
        <v>0</v>
      </c>
    </row>
    <row r="326" spans="1:17" ht="12.5" x14ac:dyDescent="0.25">
      <c r="A326" s="3">
        <v>46242</v>
      </c>
      <c r="B326" s="1" t="s">
        <v>16</v>
      </c>
      <c r="C326" s="1" t="s">
        <v>46</v>
      </c>
      <c r="D326" s="1" t="s">
        <v>41</v>
      </c>
      <c r="E326" s="1">
        <v>133.93</v>
      </c>
      <c r="F326" s="1">
        <v>11</v>
      </c>
      <c r="G326" s="1">
        <v>31</v>
      </c>
      <c r="H326" s="1">
        <v>12.175454999999999</v>
      </c>
      <c r="I326" s="1">
        <v>0.35483900000000002</v>
      </c>
      <c r="J326" s="1">
        <v>4320.3225810000004</v>
      </c>
      <c r="K326" s="1">
        <v>0</v>
      </c>
      <c r="L326" s="1">
        <v>0</v>
      </c>
      <c r="M326" s="1" t="s">
        <v>19</v>
      </c>
      <c r="N326" s="1" t="s">
        <v>20</v>
      </c>
      <c r="O326" s="1" t="s">
        <v>20</v>
      </c>
      <c r="P326" s="2">
        <f t="shared" si="10"/>
        <v>0</v>
      </c>
      <c r="Q326" s="2">
        <f t="shared" si="11"/>
        <v>0</v>
      </c>
    </row>
    <row r="327" spans="1:17" ht="12.5" x14ac:dyDescent="0.25">
      <c r="A327" s="3">
        <v>46273</v>
      </c>
      <c r="B327" s="1" t="s">
        <v>16</v>
      </c>
      <c r="C327" s="1" t="s">
        <v>46</v>
      </c>
      <c r="D327" s="1" t="s">
        <v>41</v>
      </c>
      <c r="E327" s="1">
        <v>165.71302499999999</v>
      </c>
      <c r="F327" s="1">
        <v>10</v>
      </c>
      <c r="G327" s="1">
        <v>25</v>
      </c>
      <c r="H327" s="1">
        <v>16.571301999999999</v>
      </c>
      <c r="I327" s="1">
        <v>0.4</v>
      </c>
      <c r="J327" s="1">
        <v>6628.5209999999997</v>
      </c>
      <c r="K327" s="1">
        <v>0</v>
      </c>
      <c r="L327" s="1">
        <v>0</v>
      </c>
      <c r="M327" s="1" t="s">
        <v>19</v>
      </c>
      <c r="N327" s="1" t="s">
        <v>20</v>
      </c>
      <c r="O327" s="1" t="s">
        <v>20</v>
      </c>
      <c r="P327" s="2">
        <f t="shared" si="10"/>
        <v>0</v>
      </c>
      <c r="Q327" s="2">
        <f t="shared" si="11"/>
        <v>0</v>
      </c>
    </row>
    <row r="328" spans="1:17" ht="12.5" x14ac:dyDescent="0.25">
      <c r="A328" s="3">
        <v>46303</v>
      </c>
      <c r="B328" s="1" t="s">
        <v>16</v>
      </c>
      <c r="C328" s="1" t="s">
        <v>46</v>
      </c>
      <c r="D328" s="1" t="s">
        <v>41</v>
      </c>
      <c r="E328" s="1">
        <v>227.69</v>
      </c>
      <c r="F328" s="1">
        <v>15</v>
      </c>
      <c r="G328" s="1">
        <v>39</v>
      </c>
      <c r="H328" s="1">
        <v>15.179333</v>
      </c>
      <c r="I328" s="1">
        <v>0.38461499999999998</v>
      </c>
      <c r="J328" s="1">
        <v>5838.2051279999996</v>
      </c>
      <c r="K328" s="1">
        <v>0</v>
      </c>
      <c r="L328" s="1">
        <v>0</v>
      </c>
      <c r="M328" s="1" t="s">
        <v>19</v>
      </c>
      <c r="N328" s="1" t="s">
        <v>20</v>
      </c>
      <c r="O328" s="1" t="s">
        <v>20</v>
      </c>
      <c r="P328" s="2">
        <f t="shared" si="10"/>
        <v>0</v>
      </c>
      <c r="Q328" s="2">
        <f t="shared" si="11"/>
        <v>0</v>
      </c>
    </row>
    <row r="329" spans="1:17" ht="12.5" x14ac:dyDescent="0.25">
      <c r="A329" s="3">
        <v>46334</v>
      </c>
      <c r="B329" s="1" t="s">
        <v>16</v>
      </c>
      <c r="C329" s="1" t="s">
        <v>46</v>
      </c>
      <c r="D329" s="1" t="s">
        <v>41</v>
      </c>
      <c r="E329" s="1">
        <v>215.048472</v>
      </c>
      <c r="F329" s="1">
        <v>15</v>
      </c>
      <c r="G329" s="1">
        <v>33</v>
      </c>
      <c r="H329" s="1">
        <v>14.336565</v>
      </c>
      <c r="I329" s="1">
        <v>0.45454499999999998</v>
      </c>
      <c r="J329" s="1">
        <v>6516.6203640000003</v>
      </c>
      <c r="K329" s="1">
        <v>0</v>
      </c>
      <c r="L329" s="1">
        <v>0</v>
      </c>
      <c r="M329" s="1" t="s">
        <v>19</v>
      </c>
      <c r="N329" s="1" t="s">
        <v>20</v>
      </c>
      <c r="O329" s="1" t="s">
        <v>20</v>
      </c>
      <c r="P329" s="2">
        <f t="shared" si="10"/>
        <v>0</v>
      </c>
      <c r="Q329" s="2">
        <f t="shared" si="11"/>
        <v>0</v>
      </c>
    </row>
    <row r="330" spans="1:17" ht="12.5" x14ac:dyDescent="0.25">
      <c r="A330" s="3">
        <v>46364</v>
      </c>
      <c r="B330" s="1" t="s">
        <v>16</v>
      </c>
      <c r="C330" s="1" t="s">
        <v>46</v>
      </c>
      <c r="D330" s="1" t="s">
        <v>41</v>
      </c>
      <c r="E330" s="1">
        <v>105.039491</v>
      </c>
      <c r="F330" s="1">
        <v>10</v>
      </c>
      <c r="G330" s="1">
        <v>21</v>
      </c>
      <c r="H330" s="1">
        <v>10.503949</v>
      </c>
      <c r="I330" s="1">
        <v>0.47619</v>
      </c>
      <c r="J330" s="1">
        <v>5001.8805240000002</v>
      </c>
      <c r="K330" s="1">
        <v>0</v>
      </c>
      <c r="L330" s="1">
        <v>0</v>
      </c>
      <c r="M330" s="1" t="s">
        <v>19</v>
      </c>
      <c r="N330" s="1" t="s">
        <v>20</v>
      </c>
      <c r="O330" s="1" t="s">
        <v>20</v>
      </c>
      <c r="P330" s="2">
        <f t="shared" si="10"/>
        <v>0</v>
      </c>
      <c r="Q330" s="2">
        <f t="shared" si="11"/>
        <v>0</v>
      </c>
    </row>
    <row r="331" spans="1:17" ht="12.5" x14ac:dyDescent="0.25">
      <c r="A331" s="1" t="s">
        <v>70</v>
      </c>
      <c r="B331" s="1" t="s">
        <v>16</v>
      </c>
      <c r="C331" s="1" t="s">
        <v>46</v>
      </c>
      <c r="D331" s="1" t="s">
        <v>41</v>
      </c>
      <c r="E331" s="1">
        <v>44.49</v>
      </c>
      <c r="F331" s="1">
        <v>4</v>
      </c>
      <c r="G331" s="1">
        <v>10</v>
      </c>
      <c r="H331" s="1">
        <v>11.1225</v>
      </c>
      <c r="I331" s="1">
        <v>0.4</v>
      </c>
      <c r="J331" s="1">
        <v>4449</v>
      </c>
      <c r="K331" s="1">
        <v>0</v>
      </c>
      <c r="L331" s="1">
        <v>0</v>
      </c>
      <c r="M331" s="1" t="s">
        <v>19</v>
      </c>
      <c r="N331" s="1" t="s">
        <v>20</v>
      </c>
      <c r="O331" s="1" t="s">
        <v>20</v>
      </c>
      <c r="P331" s="2">
        <f t="shared" si="10"/>
        <v>0</v>
      </c>
      <c r="Q331" s="2">
        <f t="shared" si="11"/>
        <v>0</v>
      </c>
    </row>
    <row r="332" spans="1:17" ht="12.5" x14ac:dyDescent="0.25">
      <c r="A332" s="1" t="s">
        <v>71</v>
      </c>
      <c r="B332" s="1" t="s">
        <v>16</v>
      </c>
      <c r="C332" s="1" t="s">
        <v>46</v>
      </c>
      <c r="D332" s="1" t="s">
        <v>41</v>
      </c>
      <c r="E332" s="1">
        <v>640.88820199999998</v>
      </c>
      <c r="F332" s="1">
        <v>17</v>
      </c>
      <c r="G332" s="1">
        <v>34</v>
      </c>
      <c r="H332" s="1">
        <v>37.699306</v>
      </c>
      <c r="I332" s="1">
        <v>0.5</v>
      </c>
      <c r="J332" s="1">
        <v>18849.652999999998</v>
      </c>
      <c r="K332" s="1">
        <v>0</v>
      </c>
      <c r="L332" s="1">
        <v>0</v>
      </c>
      <c r="M332" s="1" t="s">
        <v>19</v>
      </c>
      <c r="N332" s="1" t="s">
        <v>20</v>
      </c>
      <c r="O332" s="1" t="s">
        <v>20</v>
      </c>
      <c r="P332" s="2">
        <f t="shared" si="10"/>
        <v>0</v>
      </c>
      <c r="Q332" s="2">
        <f t="shared" si="11"/>
        <v>0</v>
      </c>
    </row>
    <row r="333" spans="1:17" ht="12.5" x14ac:dyDescent="0.25">
      <c r="A333" s="1" t="s">
        <v>72</v>
      </c>
      <c r="B333" s="1" t="s">
        <v>16</v>
      </c>
      <c r="C333" s="1" t="s">
        <v>46</v>
      </c>
      <c r="D333" s="1" t="s">
        <v>41</v>
      </c>
      <c r="E333" s="1">
        <v>104.55</v>
      </c>
      <c r="F333" s="1">
        <v>9</v>
      </c>
      <c r="G333" s="1">
        <v>25</v>
      </c>
      <c r="H333" s="1">
        <v>11.616667</v>
      </c>
      <c r="I333" s="1">
        <v>0.36</v>
      </c>
      <c r="J333" s="1">
        <v>4182</v>
      </c>
      <c r="K333" s="1">
        <v>0</v>
      </c>
      <c r="L333" s="1">
        <v>0</v>
      </c>
      <c r="M333" s="1" t="s">
        <v>19</v>
      </c>
      <c r="N333" s="1" t="s">
        <v>20</v>
      </c>
      <c r="O333" s="1" t="s">
        <v>20</v>
      </c>
      <c r="P333" s="2">
        <f t="shared" si="10"/>
        <v>0</v>
      </c>
      <c r="Q333" s="2">
        <f t="shared" si="11"/>
        <v>0</v>
      </c>
    </row>
    <row r="334" spans="1:17" ht="12.5" x14ac:dyDescent="0.25">
      <c r="A334" s="1" t="s">
        <v>73</v>
      </c>
      <c r="B334" s="1" t="s">
        <v>16</v>
      </c>
      <c r="C334" s="1" t="s">
        <v>46</v>
      </c>
      <c r="D334" s="1" t="s">
        <v>41</v>
      </c>
      <c r="E334" s="1">
        <v>177.57596100000001</v>
      </c>
      <c r="F334" s="1">
        <v>6</v>
      </c>
      <c r="G334" s="1">
        <v>17</v>
      </c>
      <c r="H334" s="1">
        <v>29.595994000000001</v>
      </c>
      <c r="I334" s="1">
        <v>0.352941</v>
      </c>
      <c r="J334" s="1">
        <v>10445.644770000001</v>
      </c>
      <c r="K334" s="1">
        <v>0</v>
      </c>
      <c r="L334" s="1">
        <v>0</v>
      </c>
      <c r="M334" s="1" t="s">
        <v>19</v>
      </c>
      <c r="N334" s="1" t="s">
        <v>20</v>
      </c>
      <c r="O334" s="1" t="s">
        <v>20</v>
      </c>
      <c r="P334" s="2">
        <f t="shared" si="10"/>
        <v>0</v>
      </c>
      <c r="Q334" s="2">
        <f t="shared" si="11"/>
        <v>0</v>
      </c>
    </row>
    <row r="335" spans="1:17" ht="12.5" x14ac:dyDescent="0.25">
      <c r="A335" s="1" t="s">
        <v>74</v>
      </c>
      <c r="B335" s="1" t="s">
        <v>16</v>
      </c>
      <c r="C335" s="1" t="s">
        <v>46</v>
      </c>
      <c r="D335" s="1" t="s">
        <v>41</v>
      </c>
      <c r="E335" s="1">
        <v>563.085961</v>
      </c>
      <c r="F335" s="1">
        <v>10</v>
      </c>
      <c r="G335" s="1">
        <v>27</v>
      </c>
      <c r="H335" s="1">
        <v>56.308596000000001</v>
      </c>
      <c r="I335" s="1">
        <v>0.37036999999999998</v>
      </c>
      <c r="J335" s="1">
        <v>20855.03559</v>
      </c>
      <c r="K335" s="1">
        <v>0</v>
      </c>
      <c r="L335" s="1">
        <v>0</v>
      </c>
      <c r="M335" s="1" t="s">
        <v>19</v>
      </c>
      <c r="N335" s="1" t="s">
        <v>20</v>
      </c>
      <c r="O335" s="1" t="s">
        <v>20</v>
      </c>
      <c r="P335" s="2">
        <f t="shared" si="10"/>
        <v>0</v>
      </c>
      <c r="Q335" s="2">
        <f t="shared" si="11"/>
        <v>0</v>
      </c>
    </row>
    <row r="336" spans="1:17" ht="12.5" x14ac:dyDescent="0.25">
      <c r="A336" s="1" t="s">
        <v>75</v>
      </c>
      <c r="B336" s="1" t="s">
        <v>16</v>
      </c>
      <c r="C336" s="1" t="s">
        <v>46</v>
      </c>
      <c r="D336" s="1" t="s">
        <v>41</v>
      </c>
      <c r="E336" s="1">
        <v>318.38</v>
      </c>
      <c r="F336" s="1">
        <v>9</v>
      </c>
      <c r="G336" s="1">
        <v>21</v>
      </c>
      <c r="H336" s="1">
        <v>35.375556000000003</v>
      </c>
      <c r="I336" s="1">
        <v>0.42857099999999998</v>
      </c>
      <c r="J336" s="1">
        <v>15160.952380000001</v>
      </c>
      <c r="K336" s="1">
        <v>0</v>
      </c>
      <c r="L336" s="1">
        <v>0</v>
      </c>
      <c r="M336" s="1" t="s">
        <v>19</v>
      </c>
      <c r="N336" s="1" t="s">
        <v>20</v>
      </c>
      <c r="O336" s="1" t="s">
        <v>20</v>
      </c>
      <c r="P336" s="2">
        <f t="shared" si="10"/>
        <v>0</v>
      </c>
      <c r="Q336" s="2">
        <f t="shared" si="11"/>
        <v>0</v>
      </c>
    </row>
    <row r="337" spans="1:17" ht="12.5" x14ac:dyDescent="0.25">
      <c r="A337" s="1" t="s">
        <v>76</v>
      </c>
      <c r="B337" s="1" t="s">
        <v>16</v>
      </c>
      <c r="C337" s="1" t="s">
        <v>46</v>
      </c>
      <c r="D337" s="1" t="s">
        <v>41</v>
      </c>
      <c r="E337" s="1">
        <v>232.87</v>
      </c>
      <c r="F337" s="1">
        <v>10</v>
      </c>
      <c r="G337" s="1">
        <v>31</v>
      </c>
      <c r="H337" s="1">
        <v>23.286999999999999</v>
      </c>
      <c r="I337" s="1">
        <v>0.32258100000000001</v>
      </c>
      <c r="J337" s="1">
        <v>7511.9354839999996</v>
      </c>
      <c r="K337" s="1">
        <v>0</v>
      </c>
      <c r="L337" s="1">
        <v>0</v>
      </c>
      <c r="M337" s="1" t="s">
        <v>19</v>
      </c>
      <c r="N337" s="1" t="s">
        <v>20</v>
      </c>
      <c r="O337" s="1" t="s">
        <v>20</v>
      </c>
      <c r="P337" s="2">
        <f t="shared" si="10"/>
        <v>0</v>
      </c>
      <c r="Q337" s="2">
        <f t="shared" si="11"/>
        <v>0</v>
      </c>
    </row>
    <row r="338" spans="1:17" ht="12.5" x14ac:dyDescent="0.25">
      <c r="A338" s="1" t="s">
        <v>84</v>
      </c>
      <c r="B338" s="1" t="s">
        <v>16</v>
      </c>
      <c r="C338" s="1" t="s">
        <v>46</v>
      </c>
      <c r="D338" s="1" t="s">
        <v>41</v>
      </c>
      <c r="E338" s="1">
        <v>183.82</v>
      </c>
      <c r="F338" s="1">
        <v>7</v>
      </c>
      <c r="G338" s="1">
        <v>22</v>
      </c>
      <c r="H338" s="1">
        <v>26.26</v>
      </c>
      <c r="I338" s="1">
        <v>0.31818200000000002</v>
      </c>
      <c r="J338" s="1">
        <v>8355.4545450000005</v>
      </c>
      <c r="K338" s="1">
        <v>0</v>
      </c>
      <c r="L338" s="1">
        <v>0</v>
      </c>
      <c r="M338" s="1" t="s">
        <v>19</v>
      </c>
      <c r="N338" s="1" t="s">
        <v>20</v>
      </c>
      <c r="O338" s="1" t="s">
        <v>20</v>
      </c>
      <c r="P338" s="2">
        <f t="shared" si="10"/>
        <v>0</v>
      </c>
      <c r="Q338" s="2">
        <f t="shared" si="11"/>
        <v>0</v>
      </c>
    </row>
    <row r="339" spans="1:17" ht="12.5" x14ac:dyDescent="0.25">
      <c r="A339" s="1" t="s">
        <v>77</v>
      </c>
      <c r="B339" s="1" t="s">
        <v>16</v>
      </c>
      <c r="C339" s="1" t="s">
        <v>46</v>
      </c>
      <c r="D339" s="1" t="s">
        <v>41</v>
      </c>
      <c r="E339" s="1">
        <v>47.91</v>
      </c>
      <c r="F339" s="1">
        <v>2</v>
      </c>
      <c r="G339" s="1">
        <v>7</v>
      </c>
      <c r="H339" s="1">
        <v>23.954999999999998</v>
      </c>
      <c r="I339" s="1">
        <v>0.28571400000000002</v>
      </c>
      <c r="J339" s="1">
        <v>6844.2857139999996</v>
      </c>
      <c r="K339" s="1">
        <v>0</v>
      </c>
      <c r="L339" s="1">
        <v>0</v>
      </c>
      <c r="M339" s="1" t="s">
        <v>19</v>
      </c>
      <c r="N339" s="1" t="s">
        <v>20</v>
      </c>
      <c r="O339" s="1" t="s">
        <v>20</v>
      </c>
      <c r="P339" s="2">
        <f t="shared" si="10"/>
        <v>0</v>
      </c>
      <c r="Q339" s="2">
        <f t="shared" si="11"/>
        <v>0</v>
      </c>
    </row>
    <row r="340" spans="1:17" ht="12.5" x14ac:dyDescent="0.25">
      <c r="A340" s="1" t="s">
        <v>78</v>
      </c>
      <c r="B340" s="1" t="s">
        <v>16</v>
      </c>
      <c r="C340" s="1" t="s">
        <v>46</v>
      </c>
      <c r="D340" s="1" t="s">
        <v>41</v>
      </c>
      <c r="E340" s="1">
        <v>21.61</v>
      </c>
      <c r="F340" s="1">
        <v>6</v>
      </c>
      <c r="G340" s="1">
        <v>10</v>
      </c>
      <c r="H340" s="1">
        <v>3.601667</v>
      </c>
      <c r="I340" s="1">
        <v>0.6</v>
      </c>
      <c r="J340" s="1">
        <v>2161</v>
      </c>
      <c r="K340" s="1">
        <v>0</v>
      </c>
      <c r="L340" s="1">
        <v>0</v>
      </c>
      <c r="M340" s="1" t="s">
        <v>19</v>
      </c>
      <c r="N340" s="1" t="s">
        <v>20</v>
      </c>
      <c r="O340" s="1" t="s">
        <v>20</v>
      </c>
      <c r="P340" s="2">
        <f t="shared" si="10"/>
        <v>0</v>
      </c>
      <c r="Q340" s="2">
        <f t="shared" si="11"/>
        <v>0</v>
      </c>
    </row>
    <row r="341" spans="1:17" ht="12.5" x14ac:dyDescent="0.25">
      <c r="A341" s="1" t="s">
        <v>79</v>
      </c>
      <c r="B341" s="1" t="s">
        <v>16</v>
      </c>
      <c r="C341" s="1" t="s">
        <v>46</v>
      </c>
      <c r="D341" s="1" t="s">
        <v>41</v>
      </c>
      <c r="E341" s="1">
        <v>107.85</v>
      </c>
      <c r="F341" s="1">
        <v>6</v>
      </c>
      <c r="G341" s="1">
        <v>20</v>
      </c>
      <c r="H341" s="1">
        <v>17.975000000000001</v>
      </c>
      <c r="I341" s="1">
        <v>0.3</v>
      </c>
      <c r="J341" s="1">
        <v>5392.5</v>
      </c>
      <c r="K341" s="1">
        <v>0</v>
      </c>
      <c r="L341" s="1">
        <v>0</v>
      </c>
      <c r="M341" s="1" t="s">
        <v>19</v>
      </c>
      <c r="N341" s="1" t="s">
        <v>20</v>
      </c>
      <c r="O341" s="1" t="s">
        <v>20</v>
      </c>
      <c r="P341" s="2">
        <f t="shared" si="10"/>
        <v>0</v>
      </c>
      <c r="Q341" s="2">
        <f t="shared" si="11"/>
        <v>0</v>
      </c>
    </row>
    <row r="342" spans="1:17" ht="12.5" x14ac:dyDescent="0.25">
      <c r="A342" s="1" t="s">
        <v>80</v>
      </c>
      <c r="B342" s="1" t="s">
        <v>16</v>
      </c>
      <c r="C342" s="1" t="s">
        <v>46</v>
      </c>
      <c r="D342" s="1" t="s">
        <v>41</v>
      </c>
      <c r="E342" s="1">
        <v>70.031317999999999</v>
      </c>
      <c r="F342" s="1">
        <v>10</v>
      </c>
      <c r="G342" s="1">
        <v>31</v>
      </c>
      <c r="H342" s="1">
        <v>7.0031319999999999</v>
      </c>
      <c r="I342" s="1">
        <v>0.32258100000000001</v>
      </c>
      <c r="J342" s="1">
        <v>2259.0747740000002</v>
      </c>
      <c r="K342" s="1">
        <v>0</v>
      </c>
      <c r="L342" s="1">
        <v>0</v>
      </c>
      <c r="M342" s="1" t="s">
        <v>19</v>
      </c>
      <c r="N342" s="1" t="s">
        <v>20</v>
      </c>
      <c r="O342" s="1" t="s">
        <v>20</v>
      </c>
      <c r="P342" s="2">
        <f t="shared" si="10"/>
        <v>0</v>
      </c>
      <c r="Q342" s="2">
        <f t="shared" si="11"/>
        <v>0</v>
      </c>
    </row>
    <row r="343" spans="1:17" ht="12.5" x14ac:dyDescent="0.25">
      <c r="A343" s="1" t="s">
        <v>81</v>
      </c>
      <c r="B343" s="1" t="s">
        <v>16</v>
      </c>
      <c r="C343" s="1" t="s">
        <v>46</v>
      </c>
      <c r="D343" s="1" t="s">
        <v>41</v>
      </c>
      <c r="E343" s="1">
        <v>2.78</v>
      </c>
      <c r="F343" s="1">
        <v>2</v>
      </c>
      <c r="G343" s="1">
        <v>5</v>
      </c>
      <c r="H343" s="1">
        <v>1.39</v>
      </c>
      <c r="I343" s="1">
        <v>0.4</v>
      </c>
      <c r="J343" s="1">
        <v>556</v>
      </c>
      <c r="K343" s="1">
        <v>0</v>
      </c>
      <c r="L343" s="1">
        <v>0</v>
      </c>
      <c r="M343" s="1" t="s">
        <v>19</v>
      </c>
      <c r="N343" s="1" t="s">
        <v>20</v>
      </c>
      <c r="O343" s="1" t="s">
        <v>20</v>
      </c>
      <c r="P343" s="2">
        <f t="shared" si="10"/>
        <v>0</v>
      </c>
      <c r="Q343" s="2">
        <f t="shared" si="11"/>
        <v>0</v>
      </c>
    </row>
    <row r="344" spans="1:17" ht="12.5" x14ac:dyDescent="0.25">
      <c r="A344" s="1" t="s">
        <v>82</v>
      </c>
      <c r="B344" s="1" t="s">
        <v>16</v>
      </c>
      <c r="C344" s="1" t="s">
        <v>46</v>
      </c>
      <c r="D344" s="1" t="s">
        <v>41</v>
      </c>
      <c r="E344" s="1">
        <v>5.52</v>
      </c>
      <c r="F344" s="1">
        <v>4</v>
      </c>
      <c r="G344" s="1">
        <v>7</v>
      </c>
      <c r="H344" s="1">
        <v>1.38</v>
      </c>
      <c r="I344" s="1">
        <v>0.57142899999999996</v>
      </c>
      <c r="J344" s="1">
        <v>788.57142899999997</v>
      </c>
      <c r="K344" s="1">
        <v>0</v>
      </c>
      <c r="L344" s="1">
        <v>0</v>
      </c>
      <c r="M344" s="1" t="s">
        <v>19</v>
      </c>
      <c r="N344" s="1" t="s">
        <v>20</v>
      </c>
      <c r="O344" s="1" t="s">
        <v>20</v>
      </c>
      <c r="P344" s="2">
        <f t="shared" si="10"/>
        <v>0</v>
      </c>
      <c r="Q344" s="2">
        <f t="shared" si="11"/>
        <v>0</v>
      </c>
    </row>
    <row r="345" spans="1:17" ht="12.5" x14ac:dyDescent="0.25">
      <c r="A345" s="1" t="s">
        <v>83</v>
      </c>
      <c r="B345" s="1" t="s">
        <v>16</v>
      </c>
      <c r="C345" s="1" t="s">
        <v>46</v>
      </c>
      <c r="D345" s="1" t="s">
        <v>41</v>
      </c>
      <c r="E345" s="1">
        <v>1.38</v>
      </c>
      <c r="F345" s="1">
        <v>1</v>
      </c>
      <c r="G345" s="1">
        <v>2</v>
      </c>
      <c r="H345" s="1">
        <v>1.38</v>
      </c>
      <c r="I345" s="1">
        <v>0.5</v>
      </c>
      <c r="J345" s="1">
        <v>690</v>
      </c>
      <c r="K345" s="1">
        <v>0</v>
      </c>
      <c r="L345" s="1">
        <v>0</v>
      </c>
      <c r="M345" s="1" t="s">
        <v>19</v>
      </c>
      <c r="N345" s="1" t="s">
        <v>20</v>
      </c>
      <c r="O345" s="1" t="s">
        <v>20</v>
      </c>
      <c r="P345" s="2">
        <f t="shared" si="10"/>
        <v>0</v>
      </c>
      <c r="Q345" s="2">
        <f t="shared" si="11"/>
        <v>0</v>
      </c>
    </row>
    <row r="346" spans="1:17" ht="12.5" x14ac:dyDescent="0.25">
      <c r="A346" s="3">
        <v>46181</v>
      </c>
      <c r="B346" s="1" t="s">
        <v>16</v>
      </c>
      <c r="C346" s="1" t="s">
        <v>56</v>
      </c>
      <c r="D346" s="1" t="s">
        <v>41</v>
      </c>
      <c r="E346" s="1">
        <v>70.462142</v>
      </c>
      <c r="F346" s="1">
        <v>2</v>
      </c>
      <c r="G346" s="1">
        <v>114</v>
      </c>
      <c r="H346" s="1">
        <v>35.231071</v>
      </c>
      <c r="I346" s="1">
        <v>1.7544000000000001E-2</v>
      </c>
      <c r="J346" s="1">
        <v>618.08896500000003</v>
      </c>
      <c r="K346" s="1">
        <v>0</v>
      </c>
      <c r="L346" s="1">
        <v>0</v>
      </c>
      <c r="M346" s="1" t="s">
        <v>19</v>
      </c>
      <c r="N346" s="1" t="s">
        <v>20</v>
      </c>
      <c r="O346" s="1" t="s">
        <v>20</v>
      </c>
      <c r="P346" s="2">
        <f t="shared" si="10"/>
        <v>0</v>
      </c>
      <c r="Q346" s="2">
        <f t="shared" si="11"/>
        <v>0</v>
      </c>
    </row>
    <row r="347" spans="1:17" ht="12.5" x14ac:dyDescent="0.25">
      <c r="A347" s="3">
        <v>46211</v>
      </c>
      <c r="B347" s="1" t="s">
        <v>16</v>
      </c>
      <c r="C347" s="1" t="s">
        <v>56</v>
      </c>
      <c r="D347" s="1" t="s">
        <v>41</v>
      </c>
      <c r="E347" s="1">
        <v>110.039281</v>
      </c>
      <c r="F347" s="1">
        <v>1</v>
      </c>
      <c r="G347" s="1">
        <v>76</v>
      </c>
      <c r="H347" s="1">
        <v>110.039281</v>
      </c>
      <c r="I347" s="1">
        <v>1.3158E-2</v>
      </c>
      <c r="J347" s="1">
        <v>1447.885276</v>
      </c>
      <c r="K347" s="1">
        <v>0</v>
      </c>
      <c r="L347" s="1">
        <v>0</v>
      </c>
      <c r="M347" s="1" t="s">
        <v>19</v>
      </c>
      <c r="N347" s="1" t="s">
        <v>20</v>
      </c>
      <c r="O347" s="1" t="s">
        <v>20</v>
      </c>
      <c r="P347" s="2">
        <f t="shared" si="10"/>
        <v>0</v>
      </c>
      <c r="Q347" s="2">
        <f t="shared" si="11"/>
        <v>0</v>
      </c>
    </row>
    <row r="348" spans="1:17" ht="12.5" x14ac:dyDescent="0.25">
      <c r="A348" s="3">
        <v>46242</v>
      </c>
      <c r="B348" s="1" t="s">
        <v>16</v>
      </c>
      <c r="C348" s="1" t="s">
        <v>56</v>
      </c>
      <c r="D348" s="1" t="s">
        <v>41</v>
      </c>
      <c r="E348" s="1">
        <v>66.980101000000005</v>
      </c>
      <c r="F348" s="1">
        <v>2</v>
      </c>
      <c r="G348" s="1">
        <v>185</v>
      </c>
      <c r="H348" s="1">
        <v>33.490051000000001</v>
      </c>
      <c r="I348" s="1">
        <v>1.0810999999999999E-2</v>
      </c>
      <c r="J348" s="1">
        <v>362.05459999999999</v>
      </c>
      <c r="K348" s="1">
        <v>0</v>
      </c>
      <c r="L348" s="1">
        <v>0</v>
      </c>
      <c r="M348" s="1" t="s">
        <v>19</v>
      </c>
      <c r="N348" s="1" t="s">
        <v>20</v>
      </c>
      <c r="O348" s="1" t="s">
        <v>20</v>
      </c>
      <c r="P348" s="2">
        <f t="shared" si="10"/>
        <v>0</v>
      </c>
      <c r="Q348" s="2">
        <f t="shared" si="11"/>
        <v>0</v>
      </c>
    </row>
    <row r="349" spans="1:17" ht="12.5" x14ac:dyDescent="0.25">
      <c r="A349" s="3">
        <v>46273</v>
      </c>
      <c r="B349" s="1" t="s">
        <v>16</v>
      </c>
      <c r="C349" s="1" t="s">
        <v>56</v>
      </c>
      <c r="D349" s="1" t="s">
        <v>41</v>
      </c>
      <c r="E349" s="1">
        <v>122.83930599999999</v>
      </c>
      <c r="F349" s="1">
        <v>4</v>
      </c>
      <c r="G349" s="1">
        <v>229</v>
      </c>
      <c r="H349" s="1">
        <v>30.709827000000001</v>
      </c>
      <c r="I349" s="1">
        <v>1.7467E-2</v>
      </c>
      <c r="J349" s="1">
        <v>536.41618300000005</v>
      </c>
      <c r="K349" s="1">
        <v>0</v>
      </c>
      <c r="L349" s="1">
        <v>0</v>
      </c>
      <c r="M349" s="1" t="s">
        <v>19</v>
      </c>
      <c r="N349" s="1" t="s">
        <v>20</v>
      </c>
      <c r="O349" s="1" t="s">
        <v>20</v>
      </c>
      <c r="P349" s="2">
        <f t="shared" si="10"/>
        <v>0</v>
      </c>
      <c r="Q349" s="2">
        <f t="shared" si="11"/>
        <v>0</v>
      </c>
    </row>
    <row r="350" spans="1:17" ht="12.5" x14ac:dyDescent="0.25">
      <c r="A350" s="3">
        <v>46303</v>
      </c>
      <c r="B350" s="1" t="s">
        <v>16</v>
      </c>
      <c r="C350" s="1" t="s">
        <v>56</v>
      </c>
      <c r="D350" s="1" t="s">
        <v>41</v>
      </c>
      <c r="E350" s="1">
        <v>54.31</v>
      </c>
      <c r="F350" s="1">
        <v>3</v>
      </c>
      <c r="G350" s="1">
        <v>180</v>
      </c>
      <c r="H350" s="1">
        <v>18.103332999999999</v>
      </c>
      <c r="I350" s="1">
        <v>1.6667000000000001E-2</v>
      </c>
      <c r="J350" s="1">
        <v>301.72222199999999</v>
      </c>
      <c r="K350" s="1">
        <v>0</v>
      </c>
      <c r="L350" s="1">
        <v>0</v>
      </c>
      <c r="M350" s="1" t="s">
        <v>19</v>
      </c>
      <c r="N350" s="1" t="s">
        <v>20</v>
      </c>
      <c r="O350" s="1" t="s">
        <v>20</v>
      </c>
      <c r="P350" s="2">
        <f t="shared" si="10"/>
        <v>0</v>
      </c>
      <c r="Q350" s="2">
        <f t="shared" si="11"/>
        <v>0</v>
      </c>
    </row>
    <row r="351" spans="1:17" ht="12.5" x14ac:dyDescent="0.25">
      <c r="A351" s="3">
        <v>46334</v>
      </c>
      <c r="B351" s="1" t="s">
        <v>16</v>
      </c>
      <c r="C351" s="1" t="s">
        <v>56</v>
      </c>
      <c r="D351" s="1" t="s">
        <v>41</v>
      </c>
      <c r="E351" s="1">
        <v>34.54</v>
      </c>
      <c r="F351" s="1">
        <v>3</v>
      </c>
      <c r="G351" s="1">
        <v>174</v>
      </c>
      <c r="H351" s="1">
        <v>11.513332999999999</v>
      </c>
      <c r="I351" s="1">
        <v>1.7240999999999999E-2</v>
      </c>
      <c r="J351" s="1">
        <v>198.50574700000001</v>
      </c>
      <c r="K351" s="1">
        <v>0</v>
      </c>
      <c r="L351" s="1">
        <v>0</v>
      </c>
      <c r="M351" s="1" t="s">
        <v>19</v>
      </c>
      <c r="N351" s="1" t="s">
        <v>20</v>
      </c>
      <c r="O351" s="1" t="s">
        <v>20</v>
      </c>
      <c r="P351" s="2">
        <f t="shared" si="10"/>
        <v>0</v>
      </c>
      <c r="Q351" s="2">
        <f t="shared" si="11"/>
        <v>0</v>
      </c>
    </row>
    <row r="352" spans="1:17" ht="12.5" x14ac:dyDescent="0.25">
      <c r="A352" s="3">
        <v>46364</v>
      </c>
      <c r="B352" s="1" t="s">
        <v>16</v>
      </c>
      <c r="C352" s="1" t="s">
        <v>56</v>
      </c>
      <c r="D352" s="1" t="s">
        <v>41</v>
      </c>
      <c r="E352" s="1">
        <v>0.01</v>
      </c>
      <c r="F352" s="1">
        <v>1</v>
      </c>
      <c r="G352" s="1">
        <v>61</v>
      </c>
      <c r="H352" s="1">
        <v>0.01</v>
      </c>
      <c r="I352" s="1">
        <v>1.6393000000000001E-2</v>
      </c>
      <c r="J352" s="1">
        <v>0.163934</v>
      </c>
      <c r="K352" s="1">
        <v>0</v>
      </c>
      <c r="L352" s="1">
        <v>0</v>
      </c>
      <c r="M352" s="1" t="s">
        <v>19</v>
      </c>
      <c r="N352" s="1" t="s">
        <v>20</v>
      </c>
      <c r="O352" s="1" t="s">
        <v>20</v>
      </c>
      <c r="P352" s="2">
        <f t="shared" si="10"/>
        <v>0</v>
      </c>
      <c r="Q352" s="2">
        <f t="shared" si="11"/>
        <v>0</v>
      </c>
    </row>
    <row r="353" spans="1:17" ht="12.5" x14ac:dyDescent="0.25">
      <c r="A353" s="1" t="s">
        <v>70</v>
      </c>
      <c r="B353" s="1" t="s">
        <v>16</v>
      </c>
      <c r="C353" s="1" t="s">
        <v>56</v>
      </c>
      <c r="D353" s="1" t="s">
        <v>41</v>
      </c>
      <c r="E353" s="1">
        <v>18.14</v>
      </c>
      <c r="F353" s="1">
        <v>2</v>
      </c>
      <c r="G353" s="1">
        <v>49</v>
      </c>
      <c r="H353" s="1">
        <v>9.07</v>
      </c>
      <c r="I353" s="1">
        <v>4.0815999999999998E-2</v>
      </c>
      <c r="J353" s="1">
        <v>370.20408200000003</v>
      </c>
      <c r="K353" s="1">
        <v>0</v>
      </c>
      <c r="L353" s="1">
        <v>0</v>
      </c>
      <c r="M353" s="1" t="s">
        <v>19</v>
      </c>
      <c r="N353" s="1" t="s">
        <v>20</v>
      </c>
      <c r="O353" s="1" t="s">
        <v>20</v>
      </c>
      <c r="P353" s="2">
        <f t="shared" si="10"/>
        <v>0</v>
      </c>
      <c r="Q353" s="2">
        <f t="shared" si="11"/>
        <v>0</v>
      </c>
    </row>
    <row r="354" spans="1:17" ht="12.5" x14ac:dyDescent="0.25">
      <c r="A354" s="1" t="s">
        <v>71</v>
      </c>
      <c r="B354" s="1" t="s">
        <v>16</v>
      </c>
      <c r="C354" s="1" t="s">
        <v>56</v>
      </c>
      <c r="D354" s="1" t="s">
        <v>41</v>
      </c>
      <c r="E354" s="1">
        <v>21.48</v>
      </c>
      <c r="F354" s="1">
        <v>1</v>
      </c>
      <c r="G354" s="1">
        <v>79</v>
      </c>
      <c r="H354" s="1">
        <v>21.48</v>
      </c>
      <c r="I354" s="1">
        <v>1.2658000000000001E-2</v>
      </c>
      <c r="J354" s="1">
        <v>271.89873399999999</v>
      </c>
      <c r="K354" s="1">
        <v>0</v>
      </c>
      <c r="L354" s="1">
        <v>0</v>
      </c>
      <c r="M354" s="1" t="s">
        <v>19</v>
      </c>
      <c r="N354" s="1" t="s">
        <v>20</v>
      </c>
      <c r="O354" s="1" t="s">
        <v>20</v>
      </c>
      <c r="P354" s="2">
        <f t="shared" si="10"/>
        <v>0</v>
      </c>
      <c r="Q354" s="2">
        <f t="shared" si="11"/>
        <v>0</v>
      </c>
    </row>
    <row r="355" spans="1:17" ht="12.5" x14ac:dyDescent="0.25">
      <c r="A355" s="1" t="s">
        <v>72</v>
      </c>
      <c r="B355" s="1" t="s">
        <v>16</v>
      </c>
      <c r="C355" s="1" t="s">
        <v>56</v>
      </c>
      <c r="D355" s="1" t="s">
        <v>41</v>
      </c>
      <c r="E355" s="1">
        <v>4.08</v>
      </c>
      <c r="F355" s="1">
        <v>1</v>
      </c>
      <c r="G355" s="1">
        <v>47</v>
      </c>
      <c r="H355" s="1">
        <v>4.08</v>
      </c>
      <c r="I355" s="1">
        <v>2.1277000000000001E-2</v>
      </c>
      <c r="J355" s="1">
        <v>86.808510999999996</v>
      </c>
      <c r="K355" s="1">
        <v>0</v>
      </c>
      <c r="L355" s="1">
        <v>0</v>
      </c>
      <c r="M355" s="1" t="s">
        <v>19</v>
      </c>
      <c r="N355" s="1" t="s">
        <v>20</v>
      </c>
      <c r="O355" s="1" t="s">
        <v>20</v>
      </c>
      <c r="P355" s="2">
        <f t="shared" si="10"/>
        <v>0</v>
      </c>
      <c r="Q355" s="2">
        <f t="shared" si="11"/>
        <v>0</v>
      </c>
    </row>
    <row r="356" spans="1:17" ht="12.5" x14ac:dyDescent="0.25">
      <c r="A356" s="1" t="s">
        <v>74</v>
      </c>
      <c r="B356" s="1" t="s">
        <v>16</v>
      </c>
      <c r="C356" s="1" t="s">
        <v>56</v>
      </c>
      <c r="D356" s="1" t="s">
        <v>41</v>
      </c>
      <c r="E356" s="1">
        <v>1.5560130000000001</v>
      </c>
      <c r="F356" s="1">
        <v>2</v>
      </c>
      <c r="G356" s="1">
        <v>83</v>
      </c>
      <c r="H356" s="1">
        <v>0.778007</v>
      </c>
      <c r="I356" s="1">
        <v>2.4095999999999999E-2</v>
      </c>
      <c r="J356" s="1">
        <v>18.747145</v>
      </c>
      <c r="K356" s="1">
        <v>0</v>
      </c>
      <c r="L356" s="1">
        <v>0</v>
      </c>
      <c r="M356" s="1" t="s">
        <v>19</v>
      </c>
      <c r="N356" s="1" t="s">
        <v>20</v>
      </c>
      <c r="O356" s="1" t="s">
        <v>20</v>
      </c>
      <c r="P356" s="2">
        <f t="shared" si="10"/>
        <v>0</v>
      </c>
      <c r="Q356" s="2">
        <f t="shared" si="11"/>
        <v>0</v>
      </c>
    </row>
    <row r="357" spans="1:17" ht="12.5" x14ac:dyDescent="0.25">
      <c r="A357" s="1" t="s">
        <v>75</v>
      </c>
      <c r="B357" s="1" t="s">
        <v>16</v>
      </c>
      <c r="C357" s="1" t="s">
        <v>56</v>
      </c>
      <c r="D357" s="1" t="s">
        <v>41</v>
      </c>
      <c r="E357" s="1">
        <v>29.242906999999999</v>
      </c>
      <c r="F357" s="1">
        <v>1</v>
      </c>
      <c r="G357" s="1">
        <v>115</v>
      </c>
      <c r="H357" s="1">
        <v>29.242906999999999</v>
      </c>
      <c r="I357" s="1">
        <v>8.6960000000000006E-3</v>
      </c>
      <c r="J357" s="1">
        <v>254.286148</v>
      </c>
      <c r="K357" s="1">
        <v>0</v>
      </c>
      <c r="L357" s="1">
        <v>0</v>
      </c>
      <c r="M357" s="1" t="s">
        <v>19</v>
      </c>
      <c r="N357" s="1" t="s">
        <v>20</v>
      </c>
      <c r="O357" s="1" t="s">
        <v>20</v>
      </c>
      <c r="P357" s="2">
        <f t="shared" si="10"/>
        <v>0</v>
      </c>
      <c r="Q357" s="2">
        <f t="shared" si="11"/>
        <v>0</v>
      </c>
    </row>
    <row r="358" spans="1:17" ht="12.5" x14ac:dyDescent="0.25">
      <c r="A358" s="1" t="s">
        <v>76</v>
      </c>
      <c r="B358" s="1" t="s">
        <v>16</v>
      </c>
      <c r="C358" s="1" t="s">
        <v>56</v>
      </c>
      <c r="D358" s="1" t="s">
        <v>41</v>
      </c>
      <c r="E358" s="1">
        <v>117.020605</v>
      </c>
      <c r="F358" s="1">
        <v>6</v>
      </c>
      <c r="G358" s="1">
        <v>461</v>
      </c>
      <c r="H358" s="1">
        <v>19.503433999999999</v>
      </c>
      <c r="I358" s="1">
        <v>1.3015000000000001E-2</v>
      </c>
      <c r="J358" s="1">
        <v>253.84079199999999</v>
      </c>
      <c r="K358" s="1">
        <v>0</v>
      </c>
      <c r="L358" s="1">
        <v>0</v>
      </c>
      <c r="M358" s="1" t="s">
        <v>19</v>
      </c>
      <c r="N358" s="1" t="s">
        <v>20</v>
      </c>
      <c r="O358" s="1" t="s">
        <v>20</v>
      </c>
      <c r="P358" s="2">
        <f t="shared" si="10"/>
        <v>0</v>
      </c>
      <c r="Q358" s="2">
        <f t="shared" si="11"/>
        <v>0</v>
      </c>
    </row>
    <row r="359" spans="1:17" ht="12.5" x14ac:dyDescent="0.25">
      <c r="A359" s="1" t="s">
        <v>84</v>
      </c>
      <c r="B359" s="1" t="s">
        <v>16</v>
      </c>
      <c r="C359" s="1" t="s">
        <v>56</v>
      </c>
      <c r="D359" s="1" t="s">
        <v>41</v>
      </c>
      <c r="E359" s="1">
        <v>295.14867400000003</v>
      </c>
      <c r="F359" s="1">
        <v>5</v>
      </c>
      <c r="G359" s="1">
        <v>296</v>
      </c>
      <c r="H359" s="1">
        <v>59.029735000000002</v>
      </c>
      <c r="I359" s="1">
        <v>1.6892000000000001E-2</v>
      </c>
      <c r="J359" s="1">
        <v>997.12389900000005</v>
      </c>
      <c r="K359" s="1">
        <v>0</v>
      </c>
      <c r="L359" s="1">
        <v>0</v>
      </c>
      <c r="M359" s="1" t="s">
        <v>19</v>
      </c>
      <c r="N359" s="1" t="s">
        <v>20</v>
      </c>
      <c r="O359" s="1" t="s">
        <v>20</v>
      </c>
      <c r="P359" s="2">
        <f t="shared" si="10"/>
        <v>0</v>
      </c>
      <c r="Q359" s="2">
        <f t="shared" si="11"/>
        <v>0</v>
      </c>
    </row>
    <row r="360" spans="1:17" ht="12.5" x14ac:dyDescent="0.25">
      <c r="A360" s="1" t="s">
        <v>77</v>
      </c>
      <c r="B360" s="1" t="s">
        <v>16</v>
      </c>
      <c r="C360" s="1" t="s">
        <v>56</v>
      </c>
      <c r="D360" s="1" t="s">
        <v>41</v>
      </c>
      <c r="E360" s="1">
        <v>115.53724200000001</v>
      </c>
      <c r="F360" s="1">
        <v>3</v>
      </c>
      <c r="G360" s="1">
        <v>162</v>
      </c>
      <c r="H360" s="1">
        <v>38.512414</v>
      </c>
      <c r="I360" s="1">
        <v>1.8519000000000001E-2</v>
      </c>
      <c r="J360" s="1">
        <v>713.19285200000002</v>
      </c>
      <c r="K360" s="1">
        <v>0</v>
      </c>
      <c r="L360" s="1">
        <v>0</v>
      </c>
      <c r="M360" s="1" t="s">
        <v>19</v>
      </c>
      <c r="N360" s="1" t="s">
        <v>20</v>
      </c>
      <c r="O360" s="1" t="s">
        <v>20</v>
      </c>
      <c r="P360" s="2">
        <f t="shared" si="10"/>
        <v>0</v>
      </c>
      <c r="Q360" s="2">
        <f t="shared" si="11"/>
        <v>0</v>
      </c>
    </row>
    <row r="361" spans="1:17" ht="12.5" x14ac:dyDescent="0.25">
      <c r="A361" s="1" t="s">
        <v>78</v>
      </c>
      <c r="B361" s="1" t="s">
        <v>16</v>
      </c>
      <c r="C361" s="1" t="s">
        <v>56</v>
      </c>
      <c r="D361" s="1" t="s">
        <v>41</v>
      </c>
      <c r="E361" s="1">
        <v>83.979039</v>
      </c>
      <c r="F361" s="1">
        <v>5</v>
      </c>
      <c r="G361" s="1">
        <v>66</v>
      </c>
      <c r="H361" s="1">
        <v>16.795808000000001</v>
      </c>
      <c r="I361" s="1">
        <v>7.5758000000000006E-2</v>
      </c>
      <c r="J361" s="1">
        <v>1272.409682</v>
      </c>
      <c r="K361" s="1">
        <v>0</v>
      </c>
      <c r="L361" s="1">
        <v>0</v>
      </c>
      <c r="M361" s="1" t="s">
        <v>19</v>
      </c>
      <c r="N361" s="1" t="s">
        <v>20</v>
      </c>
      <c r="O361" s="1" t="s">
        <v>20</v>
      </c>
      <c r="P361" s="2">
        <f t="shared" si="10"/>
        <v>0</v>
      </c>
      <c r="Q361" s="2">
        <f t="shared" si="11"/>
        <v>0</v>
      </c>
    </row>
    <row r="362" spans="1:17" ht="12.5" x14ac:dyDescent="0.25">
      <c r="A362" s="1" t="s">
        <v>79</v>
      </c>
      <c r="B362" s="1" t="s">
        <v>16</v>
      </c>
      <c r="C362" s="1" t="s">
        <v>56</v>
      </c>
      <c r="D362" s="1" t="s">
        <v>41</v>
      </c>
      <c r="E362" s="1">
        <v>71.279719999999998</v>
      </c>
      <c r="F362" s="1">
        <v>4</v>
      </c>
      <c r="G362" s="1">
        <v>123</v>
      </c>
      <c r="H362" s="1">
        <v>17.819929999999999</v>
      </c>
      <c r="I362" s="1">
        <v>3.252E-2</v>
      </c>
      <c r="J362" s="1">
        <v>579.50991899999997</v>
      </c>
      <c r="K362" s="1">
        <v>0</v>
      </c>
      <c r="L362" s="1">
        <v>0</v>
      </c>
      <c r="M362" s="1" t="s">
        <v>19</v>
      </c>
      <c r="N362" s="1" t="s">
        <v>20</v>
      </c>
      <c r="O362" s="1" t="s">
        <v>20</v>
      </c>
      <c r="P362" s="2">
        <f t="shared" si="10"/>
        <v>0</v>
      </c>
      <c r="Q362" s="2">
        <f t="shared" si="11"/>
        <v>0</v>
      </c>
    </row>
    <row r="363" spans="1:17" ht="12.5" x14ac:dyDescent="0.25">
      <c r="A363" s="1" t="s">
        <v>80</v>
      </c>
      <c r="B363" s="1" t="s">
        <v>16</v>
      </c>
      <c r="C363" s="1" t="s">
        <v>56</v>
      </c>
      <c r="D363" s="1" t="s">
        <v>41</v>
      </c>
      <c r="E363" s="1">
        <v>135.09977000000001</v>
      </c>
      <c r="F363" s="1">
        <v>8</v>
      </c>
      <c r="G363" s="1">
        <v>90</v>
      </c>
      <c r="H363" s="1">
        <v>16.887471000000001</v>
      </c>
      <c r="I363" s="1">
        <v>8.8888999999999996E-2</v>
      </c>
      <c r="J363" s="1">
        <v>1501.1085559999999</v>
      </c>
      <c r="K363" s="1">
        <v>0</v>
      </c>
      <c r="L363" s="1">
        <v>0</v>
      </c>
      <c r="M363" s="1" t="s">
        <v>19</v>
      </c>
      <c r="N363" s="1" t="s">
        <v>20</v>
      </c>
      <c r="O363" s="1" t="s">
        <v>20</v>
      </c>
      <c r="P363" s="2">
        <f t="shared" si="10"/>
        <v>0</v>
      </c>
      <c r="Q363" s="2">
        <f t="shared" si="11"/>
        <v>0</v>
      </c>
    </row>
    <row r="364" spans="1:17" ht="12.5" x14ac:dyDescent="0.25">
      <c r="A364" s="1" t="s">
        <v>81</v>
      </c>
      <c r="B364" s="1" t="s">
        <v>16</v>
      </c>
      <c r="C364" s="1" t="s">
        <v>56</v>
      </c>
      <c r="D364" s="1" t="s">
        <v>41</v>
      </c>
      <c r="E364" s="1">
        <v>498.32128999999998</v>
      </c>
      <c r="F364" s="1">
        <v>9</v>
      </c>
      <c r="G364" s="1">
        <v>79</v>
      </c>
      <c r="H364" s="1">
        <v>55.369031999999997</v>
      </c>
      <c r="I364" s="1">
        <v>0.113924</v>
      </c>
      <c r="J364" s="1">
        <v>6307.8644299999996</v>
      </c>
      <c r="K364" s="1">
        <v>0</v>
      </c>
      <c r="L364" s="1">
        <v>0</v>
      </c>
      <c r="M364" s="1" t="s">
        <v>19</v>
      </c>
      <c r="N364" s="1" t="s">
        <v>20</v>
      </c>
      <c r="O364" s="1" t="s">
        <v>20</v>
      </c>
      <c r="P364" s="2">
        <f t="shared" si="10"/>
        <v>0</v>
      </c>
      <c r="Q364" s="2">
        <f t="shared" si="11"/>
        <v>0</v>
      </c>
    </row>
    <row r="365" spans="1:17" ht="12.5" x14ac:dyDescent="0.25">
      <c r="A365" s="1" t="s">
        <v>82</v>
      </c>
      <c r="B365" s="1" t="s">
        <v>16</v>
      </c>
      <c r="C365" s="1" t="s">
        <v>56</v>
      </c>
      <c r="D365" s="1" t="s">
        <v>41</v>
      </c>
      <c r="E365" s="1">
        <v>15.85</v>
      </c>
      <c r="F365" s="1">
        <v>4</v>
      </c>
      <c r="G365" s="1">
        <v>25</v>
      </c>
      <c r="H365" s="1">
        <v>3.9624999999999999</v>
      </c>
      <c r="I365" s="1">
        <v>0.16</v>
      </c>
      <c r="J365" s="1">
        <v>634</v>
      </c>
      <c r="K365" s="1">
        <v>0</v>
      </c>
      <c r="L365" s="1">
        <v>0</v>
      </c>
      <c r="M365" s="1" t="s">
        <v>19</v>
      </c>
      <c r="N365" s="1" t="s">
        <v>20</v>
      </c>
      <c r="O365" s="1" t="s">
        <v>20</v>
      </c>
      <c r="P365" s="2">
        <f t="shared" si="10"/>
        <v>0</v>
      </c>
      <c r="Q365" s="2">
        <f t="shared" si="11"/>
        <v>0</v>
      </c>
    </row>
    <row r="366" spans="1:17" ht="12.5" x14ac:dyDescent="0.25">
      <c r="A366" s="3">
        <v>46150</v>
      </c>
      <c r="B366" s="1" t="s">
        <v>16</v>
      </c>
      <c r="C366" s="1" t="s">
        <v>40</v>
      </c>
      <c r="D366" s="1" t="s">
        <v>41</v>
      </c>
      <c r="E366" s="1">
        <v>331.58209799999997</v>
      </c>
      <c r="F366" s="1">
        <v>45</v>
      </c>
      <c r="G366" s="1">
        <v>88</v>
      </c>
      <c r="H366" s="1">
        <v>7.3684909999999997</v>
      </c>
      <c r="I366" s="1">
        <v>0.51136400000000004</v>
      </c>
      <c r="J366" s="1">
        <v>3767.9783859999998</v>
      </c>
      <c r="K366" s="1">
        <v>0</v>
      </c>
      <c r="L366" s="1">
        <v>0</v>
      </c>
      <c r="M366" s="1" t="s">
        <v>31</v>
      </c>
      <c r="N366" s="1" t="s">
        <v>31</v>
      </c>
      <c r="O366" s="1" t="s">
        <v>31</v>
      </c>
      <c r="P366" s="2">
        <f t="shared" si="10"/>
        <v>0</v>
      </c>
      <c r="Q366" s="2">
        <f t="shared" si="11"/>
        <v>0</v>
      </c>
    </row>
    <row r="367" spans="1:17" ht="12.5" x14ac:dyDescent="0.25">
      <c r="A367" s="3">
        <v>46181</v>
      </c>
      <c r="B367" s="1" t="s">
        <v>16</v>
      </c>
      <c r="C367" s="1" t="s">
        <v>40</v>
      </c>
      <c r="D367" s="1" t="s">
        <v>41</v>
      </c>
      <c r="E367" s="1">
        <v>387.32225499999998</v>
      </c>
      <c r="F367" s="1">
        <v>64</v>
      </c>
      <c r="G367" s="1">
        <v>122</v>
      </c>
      <c r="H367" s="1">
        <v>6.0519100000000003</v>
      </c>
      <c r="I367" s="1">
        <v>0.52459</v>
      </c>
      <c r="J367" s="1">
        <v>3174.7725820000001</v>
      </c>
      <c r="K367" s="1">
        <v>0</v>
      </c>
      <c r="L367" s="1">
        <v>0</v>
      </c>
      <c r="M367" s="1" t="s">
        <v>31</v>
      </c>
      <c r="N367" s="1" t="s">
        <v>31</v>
      </c>
      <c r="O367" s="1" t="s">
        <v>31</v>
      </c>
      <c r="P367" s="2">
        <f t="shared" si="10"/>
        <v>0</v>
      </c>
      <c r="Q367" s="2">
        <f t="shared" si="11"/>
        <v>0</v>
      </c>
    </row>
    <row r="368" spans="1:17" ht="12.5" x14ac:dyDescent="0.25">
      <c r="A368" s="3">
        <v>46211</v>
      </c>
      <c r="B368" s="1" t="s">
        <v>16</v>
      </c>
      <c r="C368" s="1" t="s">
        <v>40</v>
      </c>
      <c r="D368" s="1" t="s">
        <v>41</v>
      </c>
      <c r="E368" s="1">
        <v>421.18974900000001</v>
      </c>
      <c r="F368" s="1">
        <v>75</v>
      </c>
      <c r="G368" s="1">
        <v>155</v>
      </c>
      <c r="H368" s="1">
        <v>5.615863</v>
      </c>
      <c r="I368" s="1">
        <v>0.483871</v>
      </c>
      <c r="J368" s="1">
        <v>2717.3532190000001</v>
      </c>
      <c r="K368" s="1">
        <v>1</v>
      </c>
      <c r="L368" s="1">
        <v>7914.1</v>
      </c>
      <c r="M368" s="1" t="s">
        <v>31</v>
      </c>
      <c r="N368" s="1" t="s">
        <v>31</v>
      </c>
      <c r="O368" s="1" t="s">
        <v>31</v>
      </c>
      <c r="P368" s="2">
        <f t="shared" si="10"/>
        <v>1.2635675566394157E-4</v>
      </c>
      <c r="Q368" s="2">
        <f t="shared" si="11"/>
        <v>421.18974900000001</v>
      </c>
    </row>
    <row r="369" spans="1:17" ht="12.5" x14ac:dyDescent="0.25">
      <c r="A369" s="3">
        <v>46242</v>
      </c>
      <c r="B369" s="1" t="s">
        <v>16</v>
      </c>
      <c r="C369" s="1" t="s">
        <v>40</v>
      </c>
      <c r="D369" s="1" t="s">
        <v>41</v>
      </c>
      <c r="E369" s="1">
        <v>1192.5101770000001</v>
      </c>
      <c r="F369" s="1">
        <v>83</v>
      </c>
      <c r="G369" s="1">
        <v>159</v>
      </c>
      <c r="H369" s="1">
        <v>14.367592</v>
      </c>
      <c r="I369" s="1">
        <v>0.52201299999999995</v>
      </c>
      <c r="J369" s="1">
        <v>7500.0640059999996</v>
      </c>
      <c r="K369" s="1">
        <v>0</v>
      </c>
      <c r="L369" s="1">
        <v>4.48E-2</v>
      </c>
      <c r="M369" s="1" t="s">
        <v>31</v>
      </c>
      <c r="N369" s="1" t="s">
        <v>31</v>
      </c>
      <c r="O369" s="1" t="s">
        <v>31</v>
      </c>
      <c r="P369" s="2">
        <f t="shared" si="10"/>
        <v>0</v>
      </c>
      <c r="Q369" s="2">
        <f t="shared" si="11"/>
        <v>0</v>
      </c>
    </row>
    <row r="370" spans="1:17" ht="12.5" x14ac:dyDescent="0.25">
      <c r="A370" s="3">
        <v>46273</v>
      </c>
      <c r="B370" s="1" t="s">
        <v>16</v>
      </c>
      <c r="C370" s="1" t="s">
        <v>40</v>
      </c>
      <c r="D370" s="1" t="s">
        <v>41</v>
      </c>
      <c r="E370" s="1">
        <v>1053.2062539999999</v>
      </c>
      <c r="F370" s="1">
        <v>88</v>
      </c>
      <c r="G370" s="1">
        <v>139</v>
      </c>
      <c r="H370" s="1">
        <v>11.968253000000001</v>
      </c>
      <c r="I370" s="1">
        <v>0.63309400000000005</v>
      </c>
      <c r="J370" s="1">
        <v>7577.0234099999998</v>
      </c>
      <c r="K370" s="1">
        <v>1</v>
      </c>
      <c r="L370" s="1">
        <v>17880.099999999999</v>
      </c>
      <c r="M370" s="1" t="s">
        <v>31</v>
      </c>
      <c r="N370" s="1" t="s">
        <v>31</v>
      </c>
      <c r="O370" s="1" t="s">
        <v>31</v>
      </c>
      <c r="P370" s="2">
        <f t="shared" si="10"/>
        <v>5.5928098836136267E-5</v>
      </c>
      <c r="Q370" s="2">
        <f t="shared" si="11"/>
        <v>1053.2062539999999</v>
      </c>
    </row>
    <row r="371" spans="1:17" ht="12.5" x14ac:dyDescent="0.25">
      <c r="A371" s="3">
        <v>46303</v>
      </c>
      <c r="B371" s="1" t="s">
        <v>16</v>
      </c>
      <c r="C371" s="1" t="s">
        <v>40</v>
      </c>
      <c r="D371" s="1" t="s">
        <v>41</v>
      </c>
      <c r="E371" s="1">
        <v>652.04334300000005</v>
      </c>
      <c r="F371" s="1">
        <v>58</v>
      </c>
      <c r="G371" s="1">
        <v>104</v>
      </c>
      <c r="H371" s="1">
        <v>11.242127</v>
      </c>
      <c r="I371" s="1">
        <v>0.55769199999999997</v>
      </c>
      <c r="J371" s="1">
        <v>6269.6475289999998</v>
      </c>
      <c r="K371" s="1">
        <v>0</v>
      </c>
      <c r="L371" s="1">
        <v>0</v>
      </c>
      <c r="M371" s="1" t="s">
        <v>31</v>
      </c>
      <c r="N371" s="1" t="s">
        <v>31</v>
      </c>
      <c r="O371" s="1" t="s">
        <v>31</v>
      </c>
      <c r="P371" s="2">
        <f t="shared" si="10"/>
        <v>0</v>
      </c>
      <c r="Q371" s="2">
        <f t="shared" si="11"/>
        <v>0</v>
      </c>
    </row>
    <row r="372" spans="1:17" ht="12.5" x14ac:dyDescent="0.25">
      <c r="A372" s="3">
        <v>46334</v>
      </c>
      <c r="B372" s="1" t="s">
        <v>16</v>
      </c>
      <c r="C372" s="1" t="s">
        <v>40</v>
      </c>
      <c r="D372" s="1" t="s">
        <v>41</v>
      </c>
      <c r="E372" s="1">
        <v>818.50318500000003</v>
      </c>
      <c r="F372" s="1">
        <v>58</v>
      </c>
      <c r="G372" s="1">
        <v>94</v>
      </c>
      <c r="H372" s="1">
        <v>14.112124</v>
      </c>
      <c r="I372" s="1">
        <v>0.61702100000000004</v>
      </c>
      <c r="J372" s="1">
        <v>8707.4806910000007</v>
      </c>
      <c r="K372" s="1">
        <v>0</v>
      </c>
      <c r="L372" s="1">
        <v>0</v>
      </c>
      <c r="M372" s="1" t="s">
        <v>31</v>
      </c>
      <c r="N372" s="1" t="s">
        <v>31</v>
      </c>
      <c r="O372" s="1" t="s">
        <v>31</v>
      </c>
      <c r="P372" s="2">
        <f t="shared" si="10"/>
        <v>0</v>
      </c>
      <c r="Q372" s="2">
        <f t="shared" si="11"/>
        <v>0</v>
      </c>
    </row>
    <row r="373" spans="1:17" ht="12.5" x14ac:dyDescent="0.25">
      <c r="A373" s="3">
        <v>46364</v>
      </c>
      <c r="B373" s="1" t="s">
        <v>16</v>
      </c>
      <c r="C373" s="1" t="s">
        <v>40</v>
      </c>
      <c r="D373" s="1" t="s">
        <v>41</v>
      </c>
      <c r="E373" s="1">
        <v>938.59260300000005</v>
      </c>
      <c r="F373" s="1">
        <v>42</v>
      </c>
      <c r="G373" s="1">
        <v>78</v>
      </c>
      <c r="H373" s="1">
        <v>22.347442999999998</v>
      </c>
      <c r="I373" s="1">
        <v>0.538462</v>
      </c>
      <c r="J373" s="1">
        <v>12033.238499999999</v>
      </c>
      <c r="K373" s="1">
        <v>1</v>
      </c>
      <c r="L373" s="1">
        <v>5320</v>
      </c>
      <c r="M373" s="1" t="s">
        <v>31</v>
      </c>
      <c r="N373" s="1" t="s">
        <v>31</v>
      </c>
      <c r="O373" s="1" t="s">
        <v>31</v>
      </c>
      <c r="P373" s="2">
        <f t="shared" si="10"/>
        <v>1.8796992481203009E-4</v>
      </c>
      <c r="Q373" s="2">
        <f t="shared" si="11"/>
        <v>938.59260300000005</v>
      </c>
    </row>
    <row r="374" spans="1:17" ht="12.5" x14ac:dyDescent="0.25">
      <c r="A374" s="1" t="s">
        <v>70</v>
      </c>
      <c r="B374" s="1" t="s">
        <v>16</v>
      </c>
      <c r="C374" s="1" t="s">
        <v>40</v>
      </c>
      <c r="D374" s="1" t="s">
        <v>41</v>
      </c>
      <c r="E374" s="1">
        <v>436.92404800000003</v>
      </c>
      <c r="F374" s="1">
        <v>55</v>
      </c>
      <c r="G374" s="1">
        <v>118</v>
      </c>
      <c r="H374" s="1">
        <v>7.9440739999999996</v>
      </c>
      <c r="I374" s="1">
        <v>0.46610200000000002</v>
      </c>
      <c r="J374" s="1">
        <v>3702.746169</v>
      </c>
      <c r="K374" s="1">
        <v>0</v>
      </c>
      <c r="L374" s="1">
        <v>0</v>
      </c>
      <c r="M374" s="1" t="s">
        <v>31</v>
      </c>
      <c r="N374" s="1" t="s">
        <v>31</v>
      </c>
      <c r="O374" s="1" t="s">
        <v>31</v>
      </c>
      <c r="P374" s="2">
        <f t="shared" si="10"/>
        <v>0</v>
      </c>
      <c r="Q374" s="2">
        <f t="shared" si="11"/>
        <v>0</v>
      </c>
    </row>
    <row r="375" spans="1:17" ht="12.5" x14ac:dyDescent="0.25">
      <c r="A375" s="1" t="s">
        <v>71</v>
      </c>
      <c r="B375" s="1" t="s">
        <v>16</v>
      </c>
      <c r="C375" s="1" t="s">
        <v>40</v>
      </c>
      <c r="D375" s="1" t="s">
        <v>41</v>
      </c>
      <c r="E375" s="1">
        <v>398.60062099999999</v>
      </c>
      <c r="F375" s="1">
        <v>58</v>
      </c>
      <c r="G375" s="1">
        <v>128</v>
      </c>
      <c r="H375" s="1">
        <v>6.8724249999999998</v>
      </c>
      <c r="I375" s="1">
        <v>0.453125</v>
      </c>
      <c r="J375" s="1">
        <v>3114.067352</v>
      </c>
      <c r="K375" s="1">
        <v>0</v>
      </c>
      <c r="L375" s="1">
        <v>0</v>
      </c>
      <c r="M375" s="1" t="s">
        <v>31</v>
      </c>
      <c r="N375" s="1" t="s">
        <v>31</v>
      </c>
      <c r="O375" s="1" t="s">
        <v>31</v>
      </c>
      <c r="P375" s="2">
        <f t="shared" si="10"/>
        <v>0</v>
      </c>
      <c r="Q375" s="2">
        <f t="shared" si="11"/>
        <v>0</v>
      </c>
    </row>
    <row r="376" spans="1:17" ht="12.5" x14ac:dyDescent="0.25">
      <c r="A376" s="1" t="s">
        <v>72</v>
      </c>
      <c r="B376" s="1" t="s">
        <v>16</v>
      </c>
      <c r="C376" s="1" t="s">
        <v>40</v>
      </c>
      <c r="D376" s="1" t="s">
        <v>41</v>
      </c>
      <c r="E376" s="1">
        <v>1288.196539</v>
      </c>
      <c r="F376" s="1">
        <v>92</v>
      </c>
      <c r="G376" s="1">
        <v>191</v>
      </c>
      <c r="H376" s="1">
        <v>14.002136</v>
      </c>
      <c r="I376" s="1">
        <v>0.48167500000000002</v>
      </c>
      <c r="J376" s="1">
        <v>6744.4844970000004</v>
      </c>
      <c r="K376" s="1">
        <v>1</v>
      </c>
      <c r="L376" s="1">
        <v>3400</v>
      </c>
      <c r="M376" s="1" t="s">
        <v>31</v>
      </c>
      <c r="N376" s="1" t="s">
        <v>31</v>
      </c>
      <c r="O376" s="1" t="s">
        <v>31</v>
      </c>
      <c r="P376" s="2">
        <f t="shared" si="10"/>
        <v>2.941176470588235E-4</v>
      </c>
      <c r="Q376" s="2">
        <f t="shared" si="11"/>
        <v>1288.196539</v>
      </c>
    </row>
    <row r="377" spans="1:17" ht="12.5" x14ac:dyDescent="0.25">
      <c r="A377" s="1" t="s">
        <v>73</v>
      </c>
      <c r="B377" s="1" t="s">
        <v>16</v>
      </c>
      <c r="C377" s="1" t="s">
        <v>40</v>
      </c>
      <c r="D377" s="1" t="s">
        <v>41</v>
      </c>
      <c r="E377" s="1">
        <v>366.179258</v>
      </c>
      <c r="F377" s="1">
        <v>67</v>
      </c>
      <c r="G377" s="1">
        <v>179</v>
      </c>
      <c r="H377" s="1">
        <v>5.4653619999999998</v>
      </c>
      <c r="I377" s="1">
        <v>0.37430200000000002</v>
      </c>
      <c r="J377" s="1">
        <v>2045.6941790000001</v>
      </c>
      <c r="K377" s="1">
        <v>1</v>
      </c>
      <c r="L377" s="1">
        <v>1500</v>
      </c>
      <c r="M377" s="1" t="s">
        <v>31</v>
      </c>
      <c r="N377" s="1" t="s">
        <v>31</v>
      </c>
      <c r="O377" s="1" t="s">
        <v>31</v>
      </c>
      <c r="P377" s="2">
        <f t="shared" si="10"/>
        <v>6.6666666666666664E-4</v>
      </c>
      <c r="Q377" s="2">
        <f t="shared" si="11"/>
        <v>366.179258</v>
      </c>
    </row>
    <row r="378" spans="1:17" ht="12.5" x14ac:dyDescent="0.25">
      <c r="A378" s="1" t="s">
        <v>74</v>
      </c>
      <c r="B378" s="1" t="s">
        <v>16</v>
      </c>
      <c r="C378" s="1" t="s">
        <v>40</v>
      </c>
      <c r="D378" s="1" t="s">
        <v>41</v>
      </c>
      <c r="E378" s="1">
        <v>430.23263400000002</v>
      </c>
      <c r="F378" s="1">
        <v>73</v>
      </c>
      <c r="G378" s="1">
        <v>179</v>
      </c>
      <c r="H378" s="1">
        <v>5.8935979999999999</v>
      </c>
      <c r="I378" s="1">
        <v>0.40782099999999999</v>
      </c>
      <c r="J378" s="1">
        <v>2403.5342679999999</v>
      </c>
      <c r="K378" s="1">
        <v>0</v>
      </c>
      <c r="L378" s="1">
        <v>0</v>
      </c>
      <c r="M378" s="1" t="s">
        <v>31</v>
      </c>
      <c r="N378" s="1" t="s">
        <v>31</v>
      </c>
      <c r="O378" s="1" t="s">
        <v>31</v>
      </c>
      <c r="P378" s="2">
        <f t="shared" si="10"/>
        <v>0</v>
      </c>
      <c r="Q378" s="2">
        <f t="shared" si="11"/>
        <v>0</v>
      </c>
    </row>
    <row r="379" spans="1:17" ht="12.5" x14ac:dyDescent="0.25">
      <c r="A379" s="1" t="s">
        <v>75</v>
      </c>
      <c r="B379" s="1" t="s">
        <v>16</v>
      </c>
      <c r="C379" s="1" t="s">
        <v>40</v>
      </c>
      <c r="D379" s="1" t="s">
        <v>41</v>
      </c>
      <c r="E379" s="1">
        <v>1005.60874</v>
      </c>
      <c r="F379" s="1">
        <v>82</v>
      </c>
      <c r="G379" s="1">
        <v>147</v>
      </c>
      <c r="H379" s="1">
        <v>12.263521000000001</v>
      </c>
      <c r="I379" s="1">
        <v>0.55782299999999996</v>
      </c>
      <c r="J379" s="1">
        <v>6840.8757820000001</v>
      </c>
      <c r="K379" s="1">
        <v>0</v>
      </c>
      <c r="L379" s="1">
        <v>0</v>
      </c>
      <c r="M379" s="1" t="s">
        <v>31</v>
      </c>
      <c r="N379" s="1" t="s">
        <v>31</v>
      </c>
      <c r="O379" s="1" t="s">
        <v>31</v>
      </c>
      <c r="P379" s="2">
        <f t="shared" si="10"/>
        <v>0</v>
      </c>
      <c r="Q379" s="2">
        <f t="shared" si="11"/>
        <v>0</v>
      </c>
    </row>
    <row r="380" spans="1:17" ht="12.5" x14ac:dyDescent="0.25">
      <c r="A380" s="1" t="s">
        <v>76</v>
      </c>
      <c r="B380" s="1" t="s">
        <v>16</v>
      </c>
      <c r="C380" s="1" t="s">
        <v>40</v>
      </c>
      <c r="D380" s="1" t="s">
        <v>41</v>
      </c>
      <c r="E380" s="1">
        <v>1114.9450750000001</v>
      </c>
      <c r="F380" s="1">
        <v>90</v>
      </c>
      <c r="G380" s="1">
        <v>231</v>
      </c>
      <c r="H380" s="1">
        <v>12.388279000000001</v>
      </c>
      <c r="I380" s="1">
        <v>0.38961000000000001</v>
      </c>
      <c r="J380" s="1">
        <v>4826.6020559999997</v>
      </c>
      <c r="K380" s="1">
        <v>2</v>
      </c>
      <c r="L380" s="1">
        <v>12040</v>
      </c>
      <c r="M380" s="1" t="s">
        <v>31</v>
      </c>
      <c r="N380" s="1" t="s">
        <v>31</v>
      </c>
      <c r="O380" s="1" t="s">
        <v>31</v>
      </c>
      <c r="P380" s="2">
        <f t="shared" si="10"/>
        <v>1.6611295681063124E-4</v>
      </c>
      <c r="Q380" s="2">
        <f t="shared" si="11"/>
        <v>557.47253750000004</v>
      </c>
    </row>
    <row r="381" spans="1:17" ht="12.5" x14ac:dyDescent="0.25">
      <c r="A381" s="1" t="s">
        <v>84</v>
      </c>
      <c r="B381" s="1" t="s">
        <v>16</v>
      </c>
      <c r="C381" s="1" t="s">
        <v>40</v>
      </c>
      <c r="D381" s="1" t="s">
        <v>41</v>
      </c>
      <c r="E381" s="1">
        <v>253.67216500000001</v>
      </c>
      <c r="F381" s="1">
        <v>64</v>
      </c>
      <c r="G381" s="1">
        <v>152</v>
      </c>
      <c r="H381" s="1">
        <v>3.9636279999999999</v>
      </c>
      <c r="I381" s="1">
        <v>0.42105300000000001</v>
      </c>
      <c r="J381" s="1">
        <v>1668.895822</v>
      </c>
      <c r="K381" s="1">
        <v>1</v>
      </c>
      <c r="L381" s="1">
        <v>4999</v>
      </c>
      <c r="M381" s="1" t="s">
        <v>31</v>
      </c>
      <c r="N381" s="1" t="s">
        <v>31</v>
      </c>
      <c r="O381" s="1" t="s">
        <v>31</v>
      </c>
      <c r="P381" s="2">
        <f t="shared" si="10"/>
        <v>2.0004000800160032E-4</v>
      </c>
      <c r="Q381" s="2">
        <f t="shared" si="11"/>
        <v>253.67216500000001</v>
      </c>
    </row>
    <row r="382" spans="1:17" ht="12.5" x14ac:dyDescent="0.25">
      <c r="A382" s="1" t="s">
        <v>77</v>
      </c>
      <c r="B382" s="1" t="s">
        <v>16</v>
      </c>
      <c r="C382" s="1" t="s">
        <v>40</v>
      </c>
      <c r="D382" s="1" t="s">
        <v>41</v>
      </c>
      <c r="E382" s="1">
        <v>151.353488</v>
      </c>
      <c r="F382" s="1">
        <v>38</v>
      </c>
      <c r="G382" s="1">
        <v>103</v>
      </c>
      <c r="H382" s="1">
        <v>3.9829870000000001</v>
      </c>
      <c r="I382" s="1">
        <v>0.36893199999999998</v>
      </c>
      <c r="J382" s="1">
        <v>1469.4513400000001</v>
      </c>
      <c r="K382" s="1">
        <v>0</v>
      </c>
      <c r="L382" s="1">
        <v>0</v>
      </c>
      <c r="M382" s="1" t="s">
        <v>31</v>
      </c>
      <c r="N382" s="1" t="s">
        <v>31</v>
      </c>
      <c r="O382" s="1" t="s">
        <v>31</v>
      </c>
      <c r="P382" s="2">
        <f t="shared" si="10"/>
        <v>0</v>
      </c>
      <c r="Q382" s="2">
        <f t="shared" si="11"/>
        <v>0</v>
      </c>
    </row>
    <row r="383" spans="1:17" ht="12.5" x14ac:dyDescent="0.25">
      <c r="A383" s="1" t="s">
        <v>78</v>
      </c>
      <c r="B383" s="1" t="s">
        <v>16</v>
      </c>
      <c r="C383" s="1" t="s">
        <v>40</v>
      </c>
      <c r="D383" s="1" t="s">
        <v>41</v>
      </c>
      <c r="E383" s="1">
        <v>798.38281300000006</v>
      </c>
      <c r="F383" s="1">
        <v>63</v>
      </c>
      <c r="G383" s="1">
        <v>136</v>
      </c>
      <c r="H383" s="1">
        <v>12.672743000000001</v>
      </c>
      <c r="I383" s="1">
        <v>0.46323500000000001</v>
      </c>
      <c r="J383" s="1">
        <v>5870.4618600000003</v>
      </c>
      <c r="K383" s="1">
        <v>0</v>
      </c>
      <c r="L383" s="1">
        <v>0</v>
      </c>
      <c r="M383" s="1" t="s">
        <v>31</v>
      </c>
      <c r="N383" s="1" t="s">
        <v>31</v>
      </c>
      <c r="O383" s="1" t="s">
        <v>31</v>
      </c>
      <c r="P383" s="2">
        <f t="shared" si="10"/>
        <v>0</v>
      </c>
      <c r="Q383" s="2">
        <f t="shared" si="11"/>
        <v>0</v>
      </c>
    </row>
    <row r="384" spans="1:17" ht="12.5" x14ac:dyDescent="0.25">
      <c r="A384" s="1" t="s">
        <v>79</v>
      </c>
      <c r="B384" s="1" t="s">
        <v>16</v>
      </c>
      <c r="C384" s="1" t="s">
        <v>40</v>
      </c>
      <c r="D384" s="1" t="s">
        <v>41</v>
      </c>
      <c r="E384" s="1">
        <v>591.48017400000003</v>
      </c>
      <c r="F384" s="1">
        <v>80</v>
      </c>
      <c r="G384" s="1">
        <v>206</v>
      </c>
      <c r="H384" s="1">
        <v>7.3935019999999998</v>
      </c>
      <c r="I384" s="1">
        <v>0.38834999999999997</v>
      </c>
      <c r="J384" s="1">
        <v>2871.2629809999999</v>
      </c>
      <c r="K384" s="1">
        <v>1</v>
      </c>
      <c r="L384" s="1">
        <v>5320</v>
      </c>
      <c r="M384" s="1" t="s">
        <v>31</v>
      </c>
      <c r="N384" s="1" t="s">
        <v>31</v>
      </c>
      <c r="O384" s="1" t="s">
        <v>31</v>
      </c>
      <c r="P384" s="2">
        <f t="shared" si="10"/>
        <v>1.8796992481203009E-4</v>
      </c>
      <c r="Q384" s="2">
        <f t="shared" si="11"/>
        <v>591.48017400000003</v>
      </c>
    </row>
    <row r="385" spans="1:17" ht="12.5" x14ac:dyDescent="0.25">
      <c r="A385" s="1" t="s">
        <v>80</v>
      </c>
      <c r="B385" s="1" t="s">
        <v>16</v>
      </c>
      <c r="C385" s="1" t="s">
        <v>40</v>
      </c>
      <c r="D385" s="1" t="s">
        <v>41</v>
      </c>
      <c r="E385" s="1">
        <v>414.82263699999999</v>
      </c>
      <c r="F385" s="1">
        <v>59</v>
      </c>
      <c r="G385" s="1">
        <v>128</v>
      </c>
      <c r="H385" s="1">
        <v>7.0308919999999997</v>
      </c>
      <c r="I385" s="1">
        <v>0.46093800000000001</v>
      </c>
      <c r="J385" s="1">
        <v>3240.8018520000001</v>
      </c>
      <c r="K385" s="1">
        <v>0</v>
      </c>
      <c r="L385" s="1">
        <v>0</v>
      </c>
      <c r="M385" s="1" t="s">
        <v>31</v>
      </c>
      <c r="N385" s="1" t="s">
        <v>31</v>
      </c>
      <c r="O385" s="1" t="s">
        <v>31</v>
      </c>
      <c r="P385" s="2">
        <f t="shared" si="10"/>
        <v>0</v>
      </c>
      <c r="Q385" s="2">
        <f t="shared" si="11"/>
        <v>0</v>
      </c>
    </row>
    <row r="386" spans="1:17" ht="12.5" x14ac:dyDescent="0.25">
      <c r="A386" s="1" t="s">
        <v>81</v>
      </c>
      <c r="B386" s="1" t="s">
        <v>16</v>
      </c>
      <c r="C386" s="1" t="s">
        <v>40</v>
      </c>
      <c r="D386" s="1" t="s">
        <v>41</v>
      </c>
      <c r="E386" s="1">
        <v>338.91827899999998</v>
      </c>
      <c r="F386" s="1">
        <v>67</v>
      </c>
      <c r="G386" s="1">
        <v>167</v>
      </c>
      <c r="H386" s="1">
        <v>5.0584819999999997</v>
      </c>
      <c r="I386" s="1">
        <v>0.401198</v>
      </c>
      <c r="J386" s="1">
        <v>2029.4507719999999</v>
      </c>
      <c r="K386" s="1">
        <v>0</v>
      </c>
      <c r="L386" s="1">
        <v>0</v>
      </c>
      <c r="M386" s="1" t="s">
        <v>31</v>
      </c>
      <c r="N386" s="1" t="s">
        <v>31</v>
      </c>
      <c r="O386" s="1" t="s">
        <v>31</v>
      </c>
      <c r="P386" s="2">
        <f t="shared" si="10"/>
        <v>0</v>
      </c>
      <c r="Q386" s="2">
        <f t="shared" si="11"/>
        <v>0</v>
      </c>
    </row>
    <row r="387" spans="1:17" ht="12.5" x14ac:dyDescent="0.25">
      <c r="A387" s="1" t="s">
        <v>82</v>
      </c>
      <c r="B387" s="1" t="s">
        <v>16</v>
      </c>
      <c r="C387" s="1" t="s">
        <v>40</v>
      </c>
      <c r="D387" s="1" t="s">
        <v>41</v>
      </c>
      <c r="E387" s="1">
        <v>274.68103200000002</v>
      </c>
      <c r="F387" s="1">
        <v>58</v>
      </c>
      <c r="G387" s="1">
        <v>185</v>
      </c>
      <c r="H387" s="1">
        <v>4.7358799999999999</v>
      </c>
      <c r="I387" s="1">
        <v>0.31351400000000001</v>
      </c>
      <c r="J387" s="1">
        <v>1484.7623349999999</v>
      </c>
      <c r="K387" s="1">
        <v>0</v>
      </c>
      <c r="L387" s="1">
        <v>0</v>
      </c>
      <c r="M387" s="1" t="s">
        <v>31</v>
      </c>
      <c r="N387" s="1" t="s">
        <v>31</v>
      </c>
      <c r="O387" s="1" t="s">
        <v>31</v>
      </c>
      <c r="P387" s="2">
        <f t="shared" ref="P387:P450" si="12">IFERROR(K387/ L387, 0)</f>
        <v>0</v>
      </c>
      <c r="Q387" s="2">
        <f t="shared" ref="Q387:Q450" si="13">IFERROR(E387/K387, 0)</f>
        <v>0</v>
      </c>
    </row>
    <row r="388" spans="1:17" ht="12.5" x14ac:dyDescent="0.25">
      <c r="A388" s="1" t="s">
        <v>83</v>
      </c>
      <c r="B388" s="1" t="s">
        <v>16</v>
      </c>
      <c r="C388" s="1" t="s">
        <v>40</v>
      </c>
      <c r="D388" s="1" t="s">
        <v>41</v>
      </c>
      <c r="E388" s="1">
        <v>261.14532700000001</v>
      </c>
      <c r="F388" s="1">
        <v>33</v>
      </c>
      <c r="G388" s="1">
        <v>96</v>
      </c>
      <c r="H388" s="1">
        <v>7.9134950000000002</v>
      </c>
      <c r="I388" s="1">
        <v>0.34375</v>
      </c>
      <c r="J388" s="1">
        <v>2720.2638229999998</v>
      </c>
      <c r="K388" s="1">
        <v>0</v>
      </c>
      <c r="L388" s="1">
        <v>0</v>
      </c>
      <c r="M388" s="1" t="s">
        <v>31</v>
      </c>
      <c r="N388" s="1" t="s">
        <v>31</v>
      </c>
      <c r="O388" s="1" t="s">
        <v>31</v>
      </c>
      <c r="P388" s="2">
        <f t="shared" si="12"/>
        <v>0</v>
      </c>
      <c r="Q388" s="2">
        <f t="shared" si="13"/>
        <v>0</v>
      </c>
    </row>
    <row r="389" spans="1:17" ht="12.5" x14ac:dyDescent="0.25">
      <c r="A389" s="3">
        <v>46120</v>
      </c>
      <c r="B389" s="1" t="s">
        <v>16</v>
      </c>
      <c r="C389" s="1" t="s">
        <v>67</v>
      </c>
      <c r="D389" s="1" t="s">
        <v>41</v>
      </c>
      <c r="E389" s="1">
        <v>2.7800999999999999E-2</v>
      </c>
      <c r="F389" s="1">
        <v>0</v>
      </c>
      <c r="G389" s="1">
        <v>2</v>
      </c>
      <c r="I389" s="1">
        <v>0</v>
      </c>
      <c r="J389" s="1">
        <v>13.900499999999999</v>
      </c>
      <c r="K389" s="1">
        <v>0</v>
      </c>
      <c r="L389" s="1">
        <v>0</v>
      </c>
      <c r="M389" s="1" t="s">
        <v>31</v>
      </c>
      <c r="N389" s="1" t="s">
        <v>31</v>
      </c>
      <c r="O389" s="1" t="s">
        <v>31</v>
      </c>
      <c r="P389" s="2">
        <f t="shared" si="12"/>
        <v>0</v>
      </c>
      <c r="Q389" s="2">
        <f t="shared" si="13"/>
        <v>0</v>
      </c>
    </row>
    <row r="390" spans="1:17" ht="12.5" x14ac:dyDescent="0.25">
      <c r="A390" s="3">
        <v>46150</v>
      </c>
      <c r="B390" s="1" t="s">
        <v>16</v>
      </c>
      <c r="C390" s="1" t="s">
        <v>67</v>
      </c>
      <c r="D390" s="1" t="s">
        <v>41</v>
      </c>
      <c r="E390" s="1">
        <v>950.67281000000003</v>
      </c>
      <c r="F390" s="1">
        <v>212</v>
      </c>
      <c r="G390" s="1">
        <v>7004</v>
      </c>
      <c r="H390" s="1">
        <v>4.4843060000000001</v>
      </c>
      <c r="I390" s="1">
        <v>3.0268E-2</v>
      </c>
      <c r="J390" s="1">
        <v>135.73284000000001</v>
      </c>
      <c r="K390" s="1">
        <v>0</v>
      </c>
      <c r="L390" s="1">
        <v>0</v>
      </c>
      <c r="M390" s="1" t="s">
        <v>31</v>
      </c>
      <c r="N390" s="1" t="s">
        <v>31</v>
      </c>
      <c r="O390" s="1" t="s">
        <v>31</v>
      </c>
      <c r="P390" s="2">
        <f t="shared" si="12"/>
        <v>0</v>
      </c>
      <c r="Q390" s="2">
        <f t="shared" si="13"/>
        <v>0</v>
      </c>
    </row>
    <row r="391" spans="1:17" ht="12.5" x14ac:dyDescent="0.25">
      <c r="A391" s="3">
        <v>46181</v>
      </c>
      <c r="B391" s="1" t="s">
        <v>16</v>
      </c>
      <c r="C391" s="1" t="s">
        <v>67</v>
      </c>
      <c r="D391" s="1" t="s">
        <v>41</v>
      </c>
      <c r="E391" s="1">
        <v>951.17633000000001</v>
      </c>
      <c r="F391" s="1">
        <v>159</v>
      </c>
      <c r="G391" s="1">
        <v>6980</v>
      </c>
      <c r="H391" s="1">
        <v>5.9822410000000001</v>
      </c>
      <c r="I391" s="1">
        <v>2.2779000000000001E-2</v>
      </c>
      <c r="J391" s="1">
        <v>136.271681</v>
      </c>
      <c r="K391" s="1">
        <v>0</v>
      </c>
      <c r="L391" s="1">
        <v>0</v>
      </c>
      <c r="M391" s="1" t="s">
        <v>31</v>
      </c>
      <c r="N391" s="1" t="s">
        <v>31</v>
      </c>
      <c r="O391" s="1" t="s">
        <v>31</v>
      </c>
      <c r="P391" s="2">
        <f t="shared" si="12"/>
        <v>0</v>
      </c>
      <c r="Q391" s="2">
        <f t="shared" si="13"/>
        <v>0</v>
      </c>
    </row>
    <row r="392" spans="1:17" ht="12.5" x14ac:dyDescent="0.25">
      <c r="A392" s="3">
        <v>46211</v>
      </c>
      <c r="B392" s="1" t="s">
        <v>16</v>
      </c>
      <c r="C392" s="1" t="s">
        <v>67</v>
      </c>
      <c r="D392" s="1" t="s">
        <v>41</v>
      </c>
      <c r="E392" s="1">
        <v>983.02674400000001</v>
      </c>
      <c r="F392" s="1">
        <v>232</v>
      </c>
      <c r="G392" s="1">
        <v>8309</v>
      </c>
      <c r="H392" s="1">
        <v>4.2371840000000001</v>
      </c>
      <c r="I392" s="1">
        <v>2.7921999999999999E-2</v>
      </c>
      <c r="J392" s="1">
        <v>118.308671</v>
      </c>
      <c r="K392" s="1">
        <v>0.1</v>
      </c>
      <c r="L392" s="1">
        <v>357.26823000000002</v>
      </c>
      <c r="M392" s="1" t="s">
        <v>31</v>
      </c>
      <c r="N392" s="1" t="s">
        <v>31</v>
      </c>
      <c r="O392" s="1" t="s">
        <v>31</v>
      </c>
      <c r="P392" s="2">
        <f t="shared" si="12"/>
        <v>2.7990174217282069E-4</v>
      </c>
      <c r="Q392" s="2">
        <f t="shared" si="13"/>
        <v>9830.2674399999996</v>
      </c>
    </row>
    <row r="393" spans="1:17" ht="12.5" x14ac:dyDescent="0.25">
      <c r="A393" s="3">
        <v>46242</v>
      </c>
      <c r="B393" s="1" t="s">
        <v>16</v>
      </c>
      <c r="C393" s="1" t="s">
        <v>67</v>
      </c>
      <c r="D393" s="1" t="s">
        <v>41</v>
      </c>
      <c r="E393" s="1">
        <v>1006.0453220000001</v>
      </c>
      <c r="F393" s="1">
        <v>240</v>
      </c>
      <c r="G393" s="1">
        <v>8437</v>
      </c>
      <c r="H393" s="1">
        <v>4.1918559999999996</v>
      </c>
      <c r="I393" s="1">
        <v>2.8445999999999999E-2</v>
      </c>
      <c r="J393" s="1">
        <v>119.24206700000001</v>
      </c>
      <c r="K393" s="1">
        <v>0.25</v>
      </c>
      <c r="L393" s="1">
        <v>750</v>
      </c>
      <c r="M393" s="1" t="s">
        <v>31</v>
      </c>
      <c r="N393" s="1" t="s">
        <v>31</v>
      </c>
      <c r="O393" s="1" t="s">
        <v>31</v>
      </c>
      <c r="P393" s="2">
        <f t="shared" si="12"/>
        <v>3.3333333333333332E-4</v>
      </c>
      <c r="Q393" s="2">
        <f t="shared" si="13"/>
        <v>4024.1812880000002</v>
      </c>
    </row>
    <row r="394" spans="1:17" ht="12.5" x14ac:dyDescent="0.25">
      <c r="A394" s="3">
        <v>46273</v>
      </c>
      <c r="B394" s="1" t="s">
        <v>16</v>
      </c>
      <c r="C394" s="1" t="s">
        <v>67</v>
      </c>
      <c r="D394" s="1" t="s">
        <v>41</v>
      </c>
      <c r="E394" s="1">
        <v>762.889453</v>
      </c>
      <c r="F394" s="1">
        <v>136</v>
      </c>
      <c r="G394" s="1">
        <v>5402</v>
      </c>
      <c r="H394" s="1">
        <v>5.6094809999999997</v>
      </c>
      <c r="I394" s="1">
        <v>2.5176E-2</v>
      </c>
      <c r="J394" s="1">
        <v>141.22352000000001</v>
      </c>
      <c r="K394" s="1">
        <v>0</v>
      </c>
      <c r="L394" s="1">
        <v>0</v>
      </c>
      <c r="M394" s="1" t="s">
        <v>31</v>
      </c>
      <c r="N394" s="1" t="s">
        <v>31</v>
      </c>
      <c r="O394" s="1" t="s">
        <v>31</v>
      </c>
      <c r="P394" s="2">
        <f t="shared" si="12"/>
        <v>0</v>
      </c>
      <c r="Q394" s="2">
        <f t="shared" si="13"/>
        <v>0</v>
      </c>
    </row>
    <row r="395" spans="1:17" ht="12.5" x14ac:dyDescent="0.25">
      <c r="A395" s="3">
        <v>46303</v>
      </c>
      <c r="B395" s="1" t="s">
        <v>16</v>
      </c>
      <c r="C395" s="1" t="s">
        <v>67</v>
      </c>
      <c r="D395" s="1" t="s">
        <v>41</v>
      </c>
      <c r="E395" s="1">
        <v>498.08121699999998</v>
      </c>
      <c r="F395" s="1">
        <v>81</v>
      </c>
      <c r="G395" s="1">
        <v>3784</v>
      </c>
      <c r="H395" s="1">
        <v>6.1491509999999998</v>
      </c>
      <c r="I395" s="1">
        <v>2.1406000000000001E-2</v>
      </c>
      <c r="J395" s="1">
        <v>131.628229</v>
      </c>
      <c r="K395" s="1">
        <v>0</v>
      </c>
      <c r="L395" s="1">
        <v>0</v>
      </c>
      <c r="M395" s="1" t="s">
        <v>31</v>
      </c>
      <c r="N395" s="1" t="s">
        <v>31</v>
      </c>
      <c r="O395" s="1" t="s">
        <v>31</v>
      </c>
      <c r="P395" s="2">
        <f t="shared" si="12"/>
        <v>0</v>
      </c>
      <c r="Q395" s="2">
        <f t="shared" si="13"/>
        <v>0</v>
      </c>
    </row>
    <row r="396" spans="1:17" ht="12.5" x14ac:dyDescent="0.25">
      <c r="A396" s="3">
        <v>46334</v>
      </c>
      <c r="B396" s="1" t="s">
        <v>16</v>
      </c>
      <c r="C396" s="1" t="s">
        <v>67</v>
      </c>
      <c r="D396" s="1" t="s">
        <v>41</v>
      </c>
      <c r="E396" s="1">
        <v>1009.559846</v>
      </c>
      <c r="F396" s="1">
        <v>34</v>
      </c>
      <c r="G396" s="1">
        <v>1158</v>
      </c>
      <c r="H396" s="1">
        <v>29.692937000000001</v>
      </c>
      <c r="I396" s="1">
        <v>2.9361000000000002E-2</v>
      </c>
      <c r="J396" s="1">
        <v>871.81333900000004</v>
      </c>
      <c r="K396" s="1">
        <v>0</v>
      </c>
      <c r="L396" s="1">
        <v>0</v>
      </c>
      <c r="M396" s="1" t="s">
        <v>31</v>
      </c>
      <c r="N396" s="1" t="s">
        <v>31</v>
      </c>
      <c r="O396" s="1" t="s">
        <v>31</v>
      </c>
      <c r="P396" s="2">
        <f t="shared" si="12"/>
        <v>0</v>
      </c>
      <c r="Q396" s="2">
        <f t="shared" si="13"/>
        <v>0</v>
      </c>
    </row>
    <row r="397" spans="1:17" ht="12.5" x14ac:dyDescent="0.25">
      <c r="A397" s="3">
        <v>46364</v>
      </c>
      <c r="B397" s="1" t="s">
        <v>16</v>
      </c>
      <c r="C397" s="1" t="s">
        <v>67</v>
      </c>
      <c r="D397" s="1" t="s">
        <v>41</v>
      </c>
      <c r="E397" s="1">
        <v>164.73358899999999</v>
      </c>
      <c r="F397" s="1">
        <v>37</v>
      </c>
      <c r="G397" s="1">
        <v>1312</v>
      </c>
      <c r="H397" s="1">
        <v>4.4522589999999997</v>
      </c>
      <c r="I397" s="1">
        <v>2.8201E-2</v>
      </c>
      <c r="J397" s="1">
        <v>125.559138</v>
      </c>
      <c r="K397" s="1">
        <v>1</v>
      </c>
      <c r="L397" s="1">
        <v>9085.92</v>
      </c>
      <c r="M397" s="1" t="s">
        <v>31</v>
      </c>
      <c r="N397" s="1" t="s">
        <v>31</v>
      </c>
      <c r="O397" s="1" t="s">
        <v>31</v>
      </c>
      <c r="P397" s="2">
        <f t="shared" si="12"/>
        <v>1.100604011481501E-4</v>
      </c>
      <c r="Q397" s="2">
        <f t="shared" si="13"/>
        <v>164.73358899999999</v>
      </c>
    </row>
    <row r="398" spans="1:17" ht="12.5" x14ac:dyDescent="0.25">
      <c r="A398" s="1" t="s">
        <v>70</v>
      </c>
      <c r="B398" s="1" t="s">
        <v>16</v>
      </c>
      <c r="C398" s="1" t="s">
        <v>67</v>
      </c>
      <c r="D398" s="1" t="s">
        <v>41</v>
      </c>
      <c r="E398" s="1">
        <v>331.45738899999998</v>
      </c>
      <c r="F398" s="1">
        <v>57</v>
      </c>
      <c r="G398" s="1">
        <v>3361</v>
      </c>
      <c r="H398" s="1">
        <v>5.815042</v>
      </c>
      <c r="I398" s="1">
        <v>1.6958999999999998E-2</v>
      </c>
      <c r="J398" s="1">
        <v>98.618682000000007</v>
      </c>
      <c r="K398" s="1">
        <v>0</v>
      </c>
      <c r="L398" s="1">
        <v>0</v>
      </c>
      <c r="M398" s="1" t="s">
        <v>31</v>
      </c>
      <c r="N398" s="1" t="s">
        <v>31</v>
      </c>
      <c r="O398" s="1" t="s">
        <v>31</v>
      </c>
      <c r="P398" s="2">
        <f t="shared" si="12"/>
        <v>0</v>
      </c>
      <c r="Q398" s="2">
        <f t="shared" si="13"/>
        <v>0</v>
      </c>
    </row>
    <row r="399" spans="1:17" ht="12.5" x14ac:dyDescent="0.25">
      <c r="A399" s="1" t="s">
        <v>71</v>
      </c>
      <c r="B399" s="1" t="s">
        <v>16</v>
      </c>
      <c r="C399" s="1" t="s">
        <v>67</v>
      </c>
      <c r="D399" s="1" t="s">
        <v>41</v>
      </c>
      <c r="E399" s="1">
        <v>592.62098900000001</v>
      </c>
      <c r="F399" s="1">
        <v>98</v>
      </c>
      <c r="G399" s="1">
        <v>3771</v>
      </c>
      <c r="H399" s="1">
        <v>6.0471529999999998</v>
      </c>
      <c r="I399" s="1">
        <v>2.5988000000000001E-2</v>
      </c>
      <c r="J399" s="1">
        <v>157.15221099999999</v>
      </c>
      <c r="K399" s="1">
        <v>1.96</v>
      </c>
      <c r="L399" s="1">
        <v>9355.2173999999995</v>
      </c>
      <c r="M399" s="1" t="s">
        <v>31</v>
      </c>
      <c r="N399" s="1" t="s">
        <v>31</v>
      </c>
      <c r="O399" s="1" t="s">
        <v>31</v>
      </c>
      <c r="P399" s="2">
        <f t="shared" si="12"/>
        <v>2.0950876032020378E-4</v>
      </c>
      <c r="Q399" s="2">
        <f t="shared" si="13"/>
        <v>302.35764744897961</v>
      </c>
    </row>
    <row r="400" spans="1:17" ht="12.5" x14ac:dyDescent="0.25">
      <c r="A400" s="1" t="s">
        <v>72</v>
      </c>
      <c r="B400" s="1" t="s">
        <v>16</v>
      </c>
      <c r="C400" s="1" t="s">
        <v>67</v>
      </c>
      <c r="D400" s="1" t="s">
        <v>41</v>
      </c>
      <c r="E400" s="1">
        <v>422.852082</v>
      </c>
      <c r="F400" s="1">
        <v>58</v>
      </c>
      <c r="G400" s="1">
        <v>2263</v>
      </c>
      <c r="H400" s="1">
        <v>7.2905530000000001</v>
      </c>
      <c r="I400" s="1">
        <v>2.563E-2</v>
      </c>
      <c r="J400" s="1">
        <v>186.85465400000001</v>
      </c>
      <c r="K400" s="1">
        <v>1.19</v>
      </c>
      <c r="L400" s="1">
        <v>4637.6530199999997</v>
      </c>
      <c r="M400" s="1" t="s">
        <v>31</v>
      </c>
      <c r="N400" s="1" t="s">
        <v>31</v>
      </c>
      <c r="O400" s="1" t="s">
        <v>31</v>
      </c>
      <c r="P400" s="2">
        <f t="shared" si="12"/>
        <v>2.5659530690806188E-4</v>
      </c>
      <c r="Q400" s="2">
        <f t="shared" si="13"/>
        <v>355.33788403361348</v>
      </c>
    </row>
    <row r="401" spans="1:17" ht="12.5" x14ac:dyDescent="0.25">
      <c r="A401" s="1" t="s">
        <v>73</v>
      </c>
      <c r="B401" s="1" t="s">
        <v>16</v>
      </c>
      <c r="C401" s="1" t="s">
        <v>67</v>
      </c>
      <c r="D401" s="1" t="s">
        <v>41</v>
      </c>
      <c r="E401" s="1">
        <v>547.33860100000004</v>
      </c>
      <c r="F401" s="1">
        <v>48</v>
      </c>
      <c r="G401" s="1">
        <v>1720</v>
      </c>
      <c r="H401" s="1">
        <v>11.402888000000001</v>
      </c>
      <c r="I401" s="1">
        <v>2.7907000000000001E-2</v>
      </c>
      <c r="J401" s="1">
        <v>318.22011700000002</v>
      </c>
      <c r="K401" s="1">
        <v>0.47</v>
      </c>
      <c r="L401" s="1">
        <v>3516.8325</v>
      </c>
      <c r="M401" s="1" t="s">
        <v>31</v>
      </c>
      <c r="N401" s="1" t="s">
        <v>31</v>
      </c>
      <c r="O401" s="1" t="s">
        <v>31</v>
      </c>
      <c r="P401" s="2">
        <f t="shared" si="12"/>
        <v>1.3364298697762829E-4</v>
      </c>
      <c r="Q401" s="2">
        <f t="shared" si="13"/>
        <v>1164.5502148936171</v>
      </c>
    </row>
    <row r="402" spans="1:17" ht="12.5" x14ac:dyDescent="0.25">
      <c r="A402" s="1" t="s">
        <v>74</v>
      </c>
      <c r="B402" s="1" t="s">
        <v>16</v>
      </c>
      <c r="C402" s="1" t="s">
        <v>67</v>
      </c>
      <c r="D402" s="1" t="s">
        <v>41</v>
      </c>
      <c r="E402" s="1">
        <v>445.66398700000002</v>
      </c>
      <c r="F402" s="1">
        <v>70</v>
      </c>
      <c r="G402" s="1">
        <v>3425</v>
      </c>
      <c r="H402" s="1">
        <v>6.3666280000000004</v>
      </c>
      <c r="I402" s="1">
        <v>2.0438000000000001E-2</v>
      </c>
      <c r="J402" s="1">
        <v>130.12087199999999</v>
      </c>
      <c r="K402" s="1">
        <v>1</v>
      </c>
      <c r="L402" s="1">
        <v>5940</v>
      </c>
      <c r="M402" s="1" t="s">
        <v>31</v>
      </c>
      <c r="N402" s="1" t="s">
        <v>31</v>
      </c>
      <c r="O402" s="1" t="s">
        <v>31</v>
      </c>
      <c r="P402" s="2">
        <f t="shared" si="12"/>
        <v>1.6835016835016836E-4</v>
      </c>
      <c r="Q402" s="2">
        <f t="shared" si="13"/>
        <v>445.66398700000002</v>
      </c>
    </row>
    <row r="403" spans="1:17" ht="12.5" x14ac:dyDescent="0.25">
      <c r="A403" s="1" t="s">
        <v>75</v>
      </c>
      <c r="B403" s="1" t="s">
        <v>16</v>
      </c>
      <c r="C403" s="1" t="s">
        <v>67</v>
      </c>
      <c r="D403" s="1" t="s">
        <v>41</v>
      </c>
      <c r="E403" s="1">
        <v>407.95146999999997</v>
      </c>
      <c r="F403" s="1">
        <v>59</v>
      </c>
      <c r="G403" s="1">
        <v>3008</v>
      </c>
      <c r="H403" s="1">
        <v>6.9144319999999997</v>
      </c>
      <c r="I403" s="1">
        <v>1.9613999999999999E-2</v>
      </c>
      <c r="J403" s="1">
        <v>135.622164</v>
      </c>
      <c r="K403" s="1">
        <v>0</v>
      </c>
      <c r="L403" s="1">
        <v>0</v>
      </c>
      <c r="M403" s="1" t="s">
        <v>31</v>
      </c>
      <c r="N403" s="1" t="s">
        <v>31</v>
      </c>
      <c r="O403" s="1" t="s">
        <v>31</v>
      </c>
      <c r="P403" s="2">
        <f t="shared" si="12"/>
        <v>0</v>
      </c>
      <c r="Q403" s="2">
        <f t="shared" si="13"/>
        <v>0</v>
      </c>
    </row>
    <row r="404" spans="1:17" ht="12.5" x14ac:dyDescent="0.25">
      <c r="A404" s="1" t="s">
        <v>76</v>
      </c>
      <c r="B404" s="1" t="s">
        <v>16</v>
      </c>
      <c r="C404" s="1" t="s">
        <v>67</v>
      </c>
      <c r="D404" s="1" t="s">
        <v>41</v>
      </c>
      <c r="E404" s="1">
        <v>484.40466700000002</v>
      </c>
      <c r="F404" s="1">
        <v>61</v>
      </c>
      <c r="G404" s="1">
        <v>2070</v>
      </c>
      <c r="H404" s="1">
        <v>7.9410600000000002</v>
      </c>
      <c r="I404" s="1">
        <v>2.9468999999999999E-2</v>
      </c>
      <c r="J404" s="1">
        <v>234.01191600000001</v>
      </c>
      <c r="K404" s="1">
        <v>0</v>
      </c>
      <c r="L404" s="1">
        <v>0</v>
      </c>
      <c r="M404" s="1" t="s">
        <v>31</v>
      </c>
      <c r="N404" s="1" t="s">
        <v>31</v>
      </c>
      <c r="O404" s="1" t="s">
        <v>31</v>
      </c>
      <c r="P404" s="2">
        <f t="shared" si="12"/>
        <v>0</v>
      </c>
      <c r="Q404" s="2">
        <f t="shared" si="13"/>
        <v>0</v>
      </c>
    </row>
    <row r="405" spans="1:17" ht="12.5" x14ac:dyDescent="0.25">
      <c r="A405" s="1" t="s">
        <v>84</v>
      </c>
      <c r="B405" s="1" t="s">
        <v>16</v>
      </c>
      <c r="C405" s="1" t="s">
        <v>67</v>
      </c>
      <c r="D405" s="1" t="s">
        <v>41</v>
      </c>
      <c r="E405" s="1">
        <v>495.392584</v>
      </c>
      <c r="F405" s="1">
        <v>100</v>
      </c>
      <c r="G405" s="1">
        <v>3077</v>
      </c>
      <c r="H405" s="1">
        <v>4.9539260000000001</v>
      </c>
      <c r="I405" s="1">
        <v>3.2499E-2</v>
      </c>
      <c r="J405" s="1">
        <v>160.99856500000001</v>
      </c>
      <c r="K405" s="1">
        <v>0</v>
      </c>
      <c r="L405" s="1">
        <v>0</v>
      </c>
      <c r="M405" s="1" t="s">
        <v>31</v>
      </c>
      <c r="N405" s="1" t="s">
        <v>31</v>
      </c>
      <c r="O405" s="1" t="s">
        <v>31</v>
      </c>
      <c r="P405" s="2">
        <f t="shared" si="12"/>
        <v>0</v>
      </c>
      <c r="Q405" s="2">
        <f t="shared" si="13"/>
        <v>0</v>
      </c>
    </row>
    <row r="406" spans="1:17" ht="12.5" x14ac:dyDescent="0.25">
      <c r="A406" s="1" t="s">
        <v>77</v>
      </c>
      <c r="B406" s="1" t="s">
        <v>16</v>
      </c>
      <c r="C406" s="1" t="s">
        <v>67</v>
      </c>
      <c r="D406" s="1" t="s">
        <v>41</v>
      </c>
      <c r="E406" s="1">
        <v>518.02464299999997</v>
      </c>
      <c r="F406" s="1">
        <v>104</v>
      </c>
      <c r="G406" s="1">
        <v>3378</v>
      </c>
      <c r="H406" s="1">
        <v>4.9810059999999998</v>
      </c>
      <c r="I406" s="1">
        <v>3.0786999999999998E-2</v>
      </c>
      <c r="J406" s="1">
        <v>153.35247000000001</v>
      </c>
      <c r="K406" s="1">
        <v>0</v>
      </c>
      <c r="L406" s="1">
        <v>0</v>
      </c>
      <c r="M406" s="1" t="s">
        <v>31</v>
      </c>
      <c r="N406" s="1" t="s">
        <v>31</v>
      </c>
      <c r="O406" s="1" t="s">
        <v>31</v>
      </c>
      <c r="P406" s="2">
        <f t="shared" si="12"/>
        <v>0</v>
      </c>
      <c r="Q406" s="2">
        <f t="shared" si="13"/>
        <v>0</v>
      </c>
    </row>
    <row r="407" spans="1:17" ht="12.5" x14ac:dyDescent="0.25">
      <c r="A407" s="1" t="s">
        <v>78</v>
      </c>
      <c r="B407" s="1" t="s">
        <v>16</v>
      </c>
      <c r="C407" s="1" t="s">
        <v>67</v>
      </c>
      <c r="D407" s="1" t="s">
        <v>41</v>
      </c>
      <c r="E407" s="1">
        <v>483.290978</v>
      </c>
      <c r="F407" s="1">
        <v>74</v>
      </c>
      <c r="G407" s="1">
        <v>3183</v>
      </c>
      <c r="H407" s="1">
        <v>6.5309590000000002</v>
      </c>
      <c r="I407" s="1">
        <v>2.3248999999999999E-2</v>
      </c>
      <c r="J407" s="1">
        <v>151.83505400000001</v>
      </c>
      <c r="K407" s="1">
        <v>0</v>
      </c>
      <c r="L407" s="1">
        <v>0</v>
      </c>
      <c r="M407" s="1" t="s">
        <v>31</v>
      </c>
      <c r="N407" s="1" t="s">
        <v>31</v>
      </c>
      <c r="O407" s="1" t="s">
        <v>31</v>
      </c>
      <c r="P407" s="2">
        <f t="shared" si="12"/>
        <v>0</v>
      </c>
      <c r="Q407" s="2">
        <f t="shared" si="13"/>
        <v>0</v>
      </c>
    </row>
    <row r="408" spans="1:17" ht="12.5" x14ac:dyDescent="0.25">
      <c r="A408" s="1" t="s">
        <v>79</v>
      </c>
      <c r="B408" s="1" t="s">
        <v>16</v>
      </c>
      <c r="C408" s="1" t="s">
        <v>67</v>
      </c>
      <c r="D408" s="1" t="s">
        <v>41</v>
      </c>
      <c r="E408" s="1">
        <v>529.35843399999999</v>
      </c>
      <c r="F408" s="1">
        <v>32</v>
      </c>
      <c r="G408" s="1">
        <v>811</v>
      </c>
      <c r="H408" s="1">
        <v>16.542451</v>
      </c>
      <c r="I408" s="1">
        <v>3.9456999999999999E-2</v>
      </c>
      <c r="J408" s="1">
        <v>652.72310000000004</v>
      </c>
      <c r="K408" s="1">
        <v>0</v>
      </c>
      <c r="L408" s="1">
        <v>0</v>
      </c>
      <c r="M408" s="1" t="s">
        <v>31</v>
      </c>
      <c r="N408" s="1" t="s">
        <v>31</v>
      </c>
      <c r="O408" s="1" t="s">
        <v>31</v>
      </c>
      <c r="P408" s="2">
        <f t="shared" si="12"/>
        <v>0</v>
      </c>
      <c r="Q408" s="2">
        <f t="shared" si="13"/>
        <v>0</v>
      </c>
    </row>
    <row r="409" spans="1:17" ht="12.5" x14ac:dyDescent="0.25">
      <c r="A409" s="1" t="s">
        <v>80</v>
      </c>
      <c r="B409" s="1" t="s">
        <v>16</v>
      </c>
      <c r="C409" s="1" t="s">
        <v>67</v>
      </c>
      <c r="D409" s="1" t="s">
        <v>41</v>
      </c>
      <c r="E409" s="1">
        <v>325.26831600000003</v>
      </c>
      <c r="F409" s="1">
        <v>98</v>
      </c>
      <c r="G409" s="1">
        <v>3853</v>
      </c>
      <c r="H409" s="1">
        <v>3.319064</v>
      </c>
      <c r="I409" s="1">
        <v>2.5434999999999999E-2</v>
      </c>
      <c r="J409" s="1">
        <v>84.419494999999998</v>
      </c>
      <c r="K409" s="1">
        <v>0</v>
      </c>
      <c r="L409" s="1">
        <v>0</v>
      </c>
      <c r="M409" s="1" t="s">
        <v>31</v>
      </c>
      <c r="N409" s="1" t="s">
        <v>31</v>
      </c>
      <c r="O409" s="1" t="s">
        <v>31</v>
      </c>
      <c r="P409" s="2">
        <f t="shared" si="12"/>
        <v>0</v>
      </c>
      <c r="Q409" s="2">
        <f t="shared" si="13"/>
        <v>0</v>
      </c>
    </row>
    <row r="410" spans="1:17" ht="12.5" x14ac:dyDescent="0.25">
      <c r="A410" s="1" t="s">
        <v>81</v>
      </c>
      <c r="B410" s="1" t="s">
        <v>16</v>
      </c>
      <c r="C410" s="1" t="s">
        <v>67</v>
      </c>
      <c r="D410" s="1" t="s">
        <v>41</v>
      </c>
      <c r="E410" s="1">
        <v>278.86377299999998</v>
      </c>
      <c r="F410" s="1">
        <v>55</v>
      </c>
      <c r="G410" s="1">
        <v>2383</v>
      </c>
      <c r="H410" s="1">
        <v>5.0702499999999997</v>
      </c>
      <c r="I410" s="1">
        <v>2.308E-2</v>
      </c>
      <c r="J410" s="1">
        <v>117.02214600000001</v>
      </c>
      <c r="K410" s="1">
        <v>0</v>
      </c>
      <c r="L410" s="1">
        <v>0</v>
      </c>
      <c r="M410" s="1" t="s">
        <v>31</v>
      </c>
      <c r="N410" s="1" t="s">
        <v>31</v>
      </c>
      <c r="O410" s="1" t="s">
        <v>31</v>
      </c>
      <c r="P410" s="2">
        <f t="shared" si="12"/>
        <v>0</v>
      </c>
      <c r="Q410" s="2">
        <f t="shared" si="13"/>
        <v>0</v>
      </c>
    </row>
    <row r="411" spans="1:17" ht="12.5" x14ac:dyDescent="0.25">
      <c r="A411" s="1" t="s">
        <v>82</v>
      </c>
      <c r="B411" s="1" t="s">
        <v>16</v>
      </c>
      <c r="C411" s="1" t="s">
        <v>67</v>
      </c>
      <c r="D411" s="1" t="s">
        <v>41</v>
      </c>
      <c r="E411" s="1">
        <v>299.07530200000002</v>
      </c>
      <c r="F411" s="1">
        <v>55</v>
      </c>
      <c r="G411" s="1">
        <v>2861</v>
      </c>
      <c r="H411" s="1">
        <v>5.4377329999999997</v>
      </c>
      <c r="I411" s="1">
        <v>1.9224000000000002E-2</v>
      </c>
      <c r="J411" s="1">
        <v>104.53523300000001</v>
      </c>
      <c r="K411" s="1">
        <v>1</v>
      </c>
      <c r="L411" s="1">
        <v>9174</v>
      </c>
      <c r="M411" s="1" t="s">
        <v>31</v>
      </c>
      <c r="N411" s="1" t="s">
        <v>31</v>
      </c>
      <c r="O411" s="1" t="s">
        <v>31</v>
      </c>
      <c r="P411" s="2">
        <f t="shared" si="12"/>
        <v>1.0900370612600828E-4</v>
      </c>
      <c r="Q411" s="2">
        <f t="shared" si="13"/>
        <v>299.07530200000002</v>
      </c>
    </row>
    <row r="412" spans="1:17" ht="12.5" x14ac:dyDescent="0.25">
      <c r="A412" s="1" t="s">
        <v>83</v>
      </c>
      <c r="B412" s="1" t="s">
        <v>16</v>
      </c>
      <c r="C412" s="1" t="s">
        <v>67</v>
      </c>
      <c r="D412" s="1" t="s">
        <v>41</v>
      </c>
      <c r="E412" s="1">
        <v>220.66217499999999</v>
      </c>
      <c r="F412" s="1">
        <v>46</v>
      </c>
      <c r="G412" s="1">
        <v>1508</v>
      </c>
      <c r="H412" s="1">
        <v>4.7970040000000003</v>
      </c>
      <c r="I412" s="1">
        <v>3.0504E-2</v>
      </c>
      <c r="J412" s="1">
        <v>146.32770199999999</v>
      </c>
      <c r="K412" s="1">
        <v>0</v>
      </c>
      <c r="L412" s="1">
        <v>0</v>
      </c>
      <c r="M412" s="1" t="s">
        <v>31</v>
      </c>
      <c r="N412" s="1" t="s">
        <v>31</v>
      </c>
      <c r="O412" s="1" t="s">
        <v>31</v>
      </c>
      <c r="P412" s="2">
        <f t="shared" si="12"/>
        <v>0</v>
      </c>
      <c r="Q412" s="2">
        <f t="shared" si="13"/>
        <v>0</v>
      </c>
    </row>
    <row r="413" spans="1:17" ht="12.5" x14ac:dyDescent="0.25">
      <c r="A413" s="3">
        <v>46150</v>
      </c>
      <c r="B413" s="1" t="s">
        <v>16</v>
      </c>
      <c r="C413" s="1" t="s">
        <v>68</v>
      </c>
      <c r="D413" s="1" t="s">
        <v>41</v>
      </c>
      <c r="E413" s="1">
        <v>999.215236</v>
      </c>
      <c r="F413" s="1">
        <v>237</v>
      </c>
      <c r="G413" s="1">
        <v>10674</v>
      </c>
      <c r="H413" s="1">
        <v>4.2160979999999997</v>
      </c>
      <c r="I413" s="1">
        <v>2.2203000000000001E-2</v>
      </c>
      <c r="J413" s="1">
        <v>93.612070000000003</v>
      </c>
      <c r="K413" s="1">
        <v>0</v>
      </c>
      <c r="L413" s="1">
        <v>0</v>
      </c>
      <c r="M413" s="1" t="s">
        <v>31</v>
      </c>
      <c r="N413" s="1" t="s">
        <v>31</v>
      </c>
      <c r="O413" s="1" t="s">
        <v>31</v>
      </c>
      <c r="P413" s="2">
        <f t="shared" si="12"/>
        <v>0</v>
      </c>
      <c r="Q413" s="2">
        <f t="shared" si="13"/>
        <v>0</v>
      </c>
    </row>
    <row r="414" spans="1:17" ht="12.5" x14ac:dyDescent="0.25">
      <c r="A414" s="3">
        <v>46181</v>
      </c>
      <c r="B414" s="1" t="s">
        <v>16</v>
      </c>
      <c r="C414" s="1" t="s">
        <v>68</v>
      </c>
      <c r="D414" s="1" t="s">
        <v>41</v>
      </c>
      <c r="E414" s="1">
        <v>898.68465100000003</v>
      </c>
      <c r="F414" s="1">
        <v>250</v>
      </c>
      <c r="G414" s="1">
        <v>11871</v>
      </c>
      <c r="H414" s="1">
        <v>3.5947390000000001</v>
      </c>
      <c r="I414" s="1">
        <v>2.1059999999999999E-2</v>
      </c>
      <c r="J414" s="1">
        <v>75.704207999999994</v>
      </c>
      <c r="K414" s="1">
        <v>0</v>
      </c>
      <c r="L414" s="1">
        <v>0</v>
      </c>
      <c r="M414" s="1" t="s">
        <v>31</v>
      </c>
      <c r="N414" s="1" t="s">
        <v>31</v>
      </c>
      <c r="O414" s="1" t="s">
        <v>31</v>
      </c>
      <c r="P414" s="2">
        <f t="shared" si="12"/>
        <v>0</v>
      </c>
      <c r="Q414" s="2">
        <f t="shared" si="13"/>
        <v>0</v>
      </c>
    </row>
    <row r="415" spans="1:17" ht="12.5" x14ac:dyDescent="0.25">
      <c r="A415" s="3">
        <v>46211</v>
      </c>
      <c r="B415" s="1" t="s">
        <v>16</v>
      </c>
      <c r="C415" s="1" t="s">
        <v>68</v>
      </c>
      <c r="D415" s="1" t="s">
        <v>41</v>
      </c>
      <c r="E415" s="1">
        <v>849.32607399999995</v>
      </c>
      <c r="F415" s="1">
        <v>317</v>
      </c>
      <c r="G415" s="1">
        <v>13436</v>
      </c>
      <c r="H415" s="1">
        <v>2.679262</v>
      </c>
      <c r="I415" s="1">
        <v>2.3592999999999999E-2</v>
      </c>
      <c r="J415" s="1">
        <v>63.212718000000002</v>
      </c>
      <c r="K415" s="1">
        <v>1.5</v>
      </c>
      <c r="L415" s="1">
        <v>23499.955999999998</v>
      </c>
      <c r="M415" s="1" t="s">
        <v>31</v>
      </c>
      <c r="N415" s="1" t="s">
        <v>31</v>
      </c>
      <c r="O415" s="1" t="s">
        <v>31</v>
      </c>
      <c r="P415" s="2">
        <f t="shared" si="12"/>
        <v>6.3829906745357321E-5</v>
      </c>
      <c r="Q415" s="2">
        <f t="shared" si="13"/>
        <v>566.21738266666659</v>
      </c>
    </row>
    <row r="416" spans="1:17" ht="12.5" x14ac:dyDescent="0.25">
      <c r="A416" s="3">
        <v>46242</v>
      </c>
      <c r="B416" s="1" t="s">
        <v>16</v>
      </c>
      <c r="C416" s="1" t="s">
        <v>68</v>
      </c>
      <c r="D416" s="1" t="s">
        <v>41</v>
      </c>
      <c r="E416" s="1">
        <v>874.17380100000003</v>
      </c>
      <c r="F416" s="1">
        <v>386</v>
      </c>
      <c r="G416" s="1">
        <v>16238</v>
      </c>
      <c r="H416" s="1">
        <v>2.2646989999999998</v>
      </c>
      <c r="I416" s="1">
        <v>2.3771E-2</v>
      </c>
      <c r="J416" s="1">
        <v>53.835065999999998</v>
      </c>
      <c r="K416" s="1">
        <v>0.25</v>
      </c>
      <c r="L416" s="1">
        <v>750</v>
      </c>
      <c r="M416" s="1" t="s">
        <v>31</v>
      </c>
      <c r="N416" s="1" t="s">
        <v>31</v>
      </c>
      <c r="O416" s="1" t="s">
        <v>31</v>
      </c>
      <c r="P416" s="2">
        <f t="shared" si="12"/>
        <v>3.3333333333333332E-4</v>
      </c>
      <c r="Q416" s="2">
        <f t="shared" si="13"/>
        <v>3496.6952040000001</v>
      </c>
    </row>
    <row r="417" spans="1:17" ht="12.5" x14ac:dyDescent="0.25">
      <c r="A417" s="3">
        <v>46273</v>
      </c>
      <c r="B417" s="1" t="s">
        <v>16</v>
      </c>
      <c r="C417" s="1" t="s">
        <v>68</v>
      </c>
      <c r="D417" s="1" t="s">
        <v>41</v>
      </c>
      <c r="E417" s="1">
        <v>905.30264699999998</v>
      </c>
      <c r="F417" s="1">
        <v>365</v>
      </c>
      <c r="G417" s="1">
        <v>18862</v>
      </c>
      <c r="H417" s="1">
        <v>2.4802810000000002</v>
      </c>
      <c r="I417" s="1">
        <v>1.9351E-2</v>
      </c>
      <c r="J417" s="1">
        <v>47.996110999999999</v>
      </c>
      <c r="K417" s="1">
        <v>0.01</v>
      </c>
      <c r="L417" s="1">
        <v>36.88344</v>
      </c>
      <c r="M417" s="1" t="s">
        <v>31</v>
      </c>
      <c r="N417" s="1" t="s">
        <v>31</v>
      </c>
      <c r="O417" s="1" t="s">
        <v>31</v>
      </c>
      <c r="P417" s="2">
        <f t="shared" si="12"/>
        <v>2.7112438536101841E-4</v>
      </c>
      <c r="Q417" s="2">
        <f t="shared" si="13"/>
        <v>90530.2647</v>
      </c>
    </row>
    <row r="418" spans="1:17" ht="12.5" x14ac:dyDescent="0.25">
      <c r="A418" s="3">
        <v>46303</v>
      </c>
      <c r="B418" s="1" t="s">
        <v>16</v>
      </c>
      <c r="C418" s="1" t="s">
        <v>68</v>
      </c>
      <c r="D418" s="1" t="s">
        <v>41</v>
      </c>
      <c r="E418" s="1">
        <v>544.83801700000004</v>
      </c>
      <c r="F418" s="1">
        <v>188</v>
      </c>
      <c r="G418" s="1">
        <v>7747</v>
      </c>
      <c r="H418" s="1">
        <v>2.898075</v>
      </c>
      <c r="I418" s="1">
        <v>2.4267E-2</v>
      </c>
      <c r="J418" s="1">
        <v>70.328903999999994</v>
      </c>
      <c r="K418" s="1">
        <v>1</v>
      </c>
      <c r="L418" s="1">
        <v>11114.1</v>
      </c>
      <c r="M418" s="1" t="s">
        <v>31</v>
      </c>
      <c r="N418" s="1" t="s">
        <v>31</v>
      </c>
      <c r="O418" s="1" t="s">
        <v>31</v>
      </c>
      <c r="P418" s="2">
        <f t="shared" si="12"/>
        <v>8.997579651073861E-5</v>
      </c>
      <c r="Q418" s="2">
        <f t="shared" si="13"/>
        <v>544.83801700000004</v>
      </c>
    </row>
    <row r="419" spans="1:17" ht="12.5" x14ac:dyDescent="0.25">
      <c r="A419" s="3">
        <v>46334</v>
      </c>
      <c r="B419" s="1" t="s">
        <v>16</v>
      </c>
      <c r="C419" s="1" t="s">
        <v>68</v>
      </c>
      <c r="D419" s="1" t="s">
        <v>41</v>
      </c>
      <c r="E419" s="1">
        <v>426.43270799999999</v>
      </c>
      <c r="F419" s="1">
        <v>173</v>
      </c>
      <c r="G419" s="1">
        <v>7894</v>
      </c>
      <c r="H419" s="1">
        <v>2.4649290000000001</v>
      </c>
      <c r="I419" s="1">
        <v>2.1915E-2</v>
      </c>
      <c r="J419" s="1">
        <v>54.019852</v>
      </c>
      <c r="K419" s="1">
        <v>1</v>
      </c>
      <c r="L419" s="1">
        <v>6000</v>
      </c>
      <c r="M419" s="1" t="s">
        <v>31</v>
      </c>
      <c r="N419" s="1" t="s">
        <v>31</v>
      </c>
      <c r="O419" s="1" t="s">
        <v>31</v>
      </c>
      <c r="P419" s="2">
        <f t="shared" si="12"/>
        <v>1.6666666666666666E-4</v>
      </c>
      <c r="Q419" s="2">
        <f t="shared" si="13"/>
        <v>426.43270799999999</v>
      </c>
    </row>
    <row r="420" spans="1:17" ht="12.5" x14ac:dyDescent="0.25">
      <c r="A420" s="3">
        <v>46364</v>
      </c>
      <c r="B420" s="1" t="s">
        <v>16</v>
      </c>
      <c r="C420" s="1" t="s">
        <v>68</v>
      </c>
      <c r="D420" s="1" t="s">
        <v>41</v>
      </c>
      <c r="E420" s="1">
        <v>191.506754</v>
      </c>
      <c r="F420" s="1">
        <v>107</v>
      </c>
      <c r="G420" s="1">
        <v>5224</v>
      </c>
      <c r="H420" s="1">
        <v>1.7897829999999999</v>
      </c>
      <c r="I420" s="1">
        <v>2.0482E-2</v>
      </c>
      <c r="J420" s="1">
        <v>36.659025999999997</v>
      </c>
      <c r="K420" s="1">
        <v>0</v>
      </c>
      <c r="L420" s="1">
        <v>0</v>
      </c>
      <c r="M420" s="1" t="s">
        <v>31</v>
      </c>
      <c r="N420" s="1" t="s">
        <v>31</v>
      </c>
      <c r="O420" s="1" t="s">
        <v>31</v>
      </c>
      <c r="P420" s="2">
        <f t="shared" si="12"/>
        <v>0</v>
      </c>
      <c r="Q420" s="2">
        <f t="shared" si="13"/>
        <v>0</v>
      </c>
    </row>
    <row r="421" spans="1:17" ht="12.5" x14ac:dyDescent="0.25">
      <c r="A421" s="1" t="s">
        <v>70</v>
      </c>
      <c r="B421" s="1" t="s">
        <v>16</v>
      </c>
      <c r="C421" s="1" t="s">
        <v>68</v>
      </c>
      <c r="D421" s="1" t="s">
        <v>41</v>
      </c>
      <c r="E421" s="1">
        <v>791.16994699999998</v>
      </c>
      <c r="F421" s="1">
        <v>262</v>
      </c>
      <c r="G421" s="1">
        <v>15235</v>
      </c>
      <c r="H421" s="1">
        <v>3.019733</v>
      </c>
      <c r="I421" s="1">
        <v>1.7197E-2</v>
      </c>
      <c r="J421" s="1">
        <v>51.931075999999997</v>
      </c>
      <c r="K421" s="1">
        <v>0</v>
      </c>
      <c r="L421" s="1">
        <v>0</v>
      </c>
      <c r="M421" s="1" t="s">
        <v>31</v>
      </c>
      <c r="N421" s="1" t="s">
        <v>31</v>
      </c>
      <c r="O421" s="1" t="s">
        <v>31</v>
      </c>
      <c r="P421" s="2">
        <f t="shared" si="12"/>
        <v>0</v>
      </c>
      <c r="Q421" s="2">
        <f t="shared" si="13"/>
        <v>0</v>
      </c>
    </row>
    <row r="422" spans="1:17" ht="12.5" x14ac:dyDescent="0.25">
      <c r="A422" s="1" t="s">
        <v>71</v>
      </c>
      <c r="B422" s="1" t="s">
        <v>16</v>
      </c>
      <c r="C422" s="1" t="s">
        <v>68</v>
      </c>
      <c r="D422" s="1" t="s">
        <v>41</v>
      </c>
      <c r="E422" s="1">
        <v>533.80608299999994</v>
      </c>
      <c r="F422" s="1">
        <v>185</v>
      </c>
      <c r="G422" s="1">
        <v>10123</v>
      </c>
      <c r="H422" s="1">
        <v>2.8854380000000002</v>
      </c>
      <c r="I422" s="1">
        <v>1.8275E-2</v>
      </c>
      <c r="J422" s="1">
        <v>52.732005000000001</v>
      </c>
      <c r="K422" s="1">
        <v>0</v>
      </c>
      <c r="L422" s="1">
        <v>0</v>
      </c>
      <c r="M422" s="1" t="s">
        <v>31</v>
      </c>
      <c r="N422" s="1" t="s">
        <v>31</v>
      </c>
      <c r="O422" s="1" t="s">
        <v>31</v>
      </c>
      <c r="P422" s="2">
        <f t="shared" si="12"/>
        <v>0</v>
      </c>
      <c r="Q422" s="2">
        <f t="shared" si="13"/>
        <v>0</v>
      </c>
    </row>
    <row r="423" spans="1:17" ht="12.5" x14ac:dyDescent="0.25">
      <c r="A423" s="1" t="s">
        <v>72</v>
      </c>
      <c r="B423" s="1" t="s">
        <v>16</v>
      </c>
      <c r="C423" s="1" t="s">
        <v>68</v>
      </c>
      <c r="D423" s="1" t="s">
        <v>41</v>
      </c>
      <c r="E423" s="1">
        <v>563.51869799999997</v>
      </c>
      <c r="F423" s="1">
        <v>214</v>
      </c>
      <c r="G423" s="1">
        <v>10037</v>
      </c>
      <c r="H423" s="1">
        <v>2.6332650000000002</v>
      </c>
      <c r="I423" s="1">
        <v>2.1321E-2</v>
      </c>
      <c r="J423" s="1">
        <v>56.144136000000003</v>
      </c>
      <c r="K423" s="1">
        <v>0</v>
      </c>
      <c r="L423" s="1">
        <v>0</v>
      </c>
      <c r="M423" s="1" t="s">
        <v>31</v>
      </c>
      <c r="N423" s="1" t="s">
        <v>31</v>
      </c>
      <c r="O423" s="1" t="s">
        <v>31</v>
      </c>
      <c r="P423" s="2">
        <f t="shared" si="12"/>
        <v>0</v>
      </c>
      <c r="Q423" s="2">
        <f t="shared" si="13"/>
        <v>0</v>
      </c>
    </row>
    <row r="424" spans="1:17" ht="12.5" x14ac:dyDescent="0.25">
      <c r="A424" s="1" t="s">
        <v>73</v>
      </c>
      <c r="B424" s="1" t="s">
        <v>16</v>
      </c>
      <c r="C424" s="1" t="s">
        <v>68</v>
      </c>
      <c r="D424" s="1" t="s">
        <v>41</v>
      </c>
      <c r="E424" s="1">
        <v>526.29829199999995</v>
      </c>
      <c r="F424" s="1">
        <v>164</v>
      </c>
      <c r="G424" s="1">
        <v>7396</v>
      </c>
      <c r="H424" s="1">
        <v>3.209136</v>
      </c>
      <c r="I424" s="1">
        <v>2.2173999999999999E-2</v>
      </c>
      <c r="J424" s="1">
        <v>71.159856000000005</v>
      </c>
      <c r="K424" s="1">
        <v>0.47</v>
      </c>
      <c r="L424" s="1">
        <v>3516.8474999999999</v>
      </c>
      <c r="M424" s="1" t="s">
        <v>31</v>
      </c>
      <c r="N424" s="1" t="s">
        <v>31</v>
      </c>
      <c r="O424" s="1" t="s">
        <v>31</v>
      </c>
      <c r="P424" s="2">
        <f t="shared" si="12"/>
        <v>1.3364241696576265E-4</v>
      </c>
      <c r="Q424" s="2">
        <f t="shared" si="13"/>
        <v>1119.7836</v>
      </c>
    </row>
    <row r="425" spans="1:17" ht="12.5" x14ac:dyDescent="0.25">
      <c r="A425" s="1" t="s">
        <v>74</v>
      </c>
      <c r="B425" s="1" t="s">
        <v>16</v>
      </c>
      <c r="C425" s="1" t="s">
        <v>68</v>
      </c>
      <c r="D425" s="1" t="s">
        <v>41</v>
      </c>
      <c r="E425" s="1">
        <v>486.08432399999998</v>
      </c>
      <c r="F425" s="1">
        <v>212</v>
      </c>
      <c r="G425" s="1">
        <v>10372</v>
      </c>
      <c r="H425" s="1">
        <v>2.2928510000000002</v>
      </c>
      <c r="I425" s="1">
        <v>2.044E-2</v>
      </c>
      <c r="J425" s="1">
        <v>46.865051999999999</v>
      </c>
      <c r="K425" s="1">
        <v>1</v>
      </c>
      <c r="L425" s="1">
        <v>3960</v>
      </c>
      <c r="M425" s="1" t="s">
        <v>31</v>
      </c>
      <c r="N425" s="1" t="s">
        <v>31</v>
      </c>
      <c r="O425" s="1" t="s">
        <v>31</v>
      </c>
      <c r="P425" s="2">
        <f t="shared" si="12"/>
        <v>2.5252525252525253E-4</v>
      </c>
      <c r="Q425" s="2">
        <f t="shared" si="13"/>
        <v>486.08432399999998</v>
      </c>
    </row>
    <row r="426" spans="1:17" ht="12.5" x14ac:dyDescent="0.25">
      <c r="A426" s="1" t="s">
        <v>75</v>
      </c>
      <c r="B426" s="1" t="s">
        <v>16</v>
      </c>
      <c r="C426" s="1" t="s">
        <v>68</v>
      </c>
      <c r="D426" s="1" t="s">
        <v>41</v>
      </c>
      <c r="E426" s="1">
        <v>460.88536099999999</v>
      </c>
      <c r="F426" s="1">
        <v>154</v>
      </c>
      <c r="G426" s="1">
        <v>6538</v>
      </c>
      <c r="H426" s="1">
        <v>2.9927619999999999</v>
      </c>
      <c r="I426" s="1">
        <v>2.3555E-2</v>
      </c>
      <c r="J426" s="1">
        <v>70.493324999999999</v>
      </c>
      <c r="K426" s="1">
        <v>0</v>
      </c>
      <c r="L426" s="1">
        <v>0</v>
      </c>
      <c r="M426" s="1" t="s">
        <v>31</v>
      </c>
      <c r="N426" s="1" t="s">
        <v>31</v>
      </c>
      <c r="O426" s="1" t="s">
        <v>31</v>
      </c>
      <c r="P426" s="2">
        <f t="shared" si="12"/>
        <v>0</v>
      </c>
      <c r="Q426" s="2">
        <f t="shared" si="13"/>
        <v>0</v>
      </c>
    </row>
    <row r="427" spans="1:17" ht="12.5" x14ac:dyDescent="0.25">
      <c r="A427" s="1" t="s">
        <v>76</v>
      </c>
      <c r="B427" s="1" t="s">
        <v>16</v>
      </c>
      <c r="C427" s="1" t="s">
        <v>68</v>
      </c>
      <c r="D427" s="1" t="s">
        <v>41</v>
      </c>
      <c r="E427" s="1">
        <v>587.64270999999997</v>
      </c>
      <c r="F427" s="1">
        <v>226</v>
      </c>
      <c r="G427" s="1">
        <v>9106</v>
      </c>
      <c r="H427" s="1">
        <v>2.6001889999999999</v>
      </c>
      <c r="I427" s="1">
        <v>2.4819000000000001E-2</v>
      </c>
      <c r="J427" s="1">
        <v>64.533572000000007</v>
      </c>
      <c r="K427" s="1">
        <v>0</v>
      </c>
      <c r="L427" s="1">
        <v>0</v>
      </c>
      <c r="M427" s="1" t="s">
        <v>31</v>
      </c>
      <c r="N427" s="1" t="s">
        <v>31</v>
      </c>
      <c r="O427" s="1" t="s">
        <v>31</v>
      </c>
      <c r="P427" s="2">
        <f t="shared" si="12"/>
        <v>0</v>
      </c>
      <c r="Q427" s="2">
        <f t="shared" si="13"/>
        <v>0</v>
      </c>
    </row>
    <row r="428" spans="1:17" ht="12.5" x14ac:dyDescent="0.25">
      <c r="A428" s="1" t="s">
        <v>84</v>
      </c>
      <c r="B428" s="1" t="s">
        <v>16</v>
      </c>
      <c r="C428" s="1" t="s">
        <v>68</v>
      </c>
      <c r="D428" s="1" t="s">
        <v>41</v>
      </c>
      <c r="E428" s="1">
        <v>435.43836700000003</v>
      </c>
      <c r="F428" s="1">
        <v>226</v>
      </c>
      <c r="G428" s="1">
        <v>8852</v>
      </c>
      <c r="H428" s="1">
        <v>1.9267179999999999</v>
      </c>
      <c r="I428" s="1">
        <v>2.5531000000000002E-2</v>
      </c>
      <c r="J428" s="1">
        <v>49.190958999999999</v>
      </c>
      <c r="K428" s="1">
        <v>0</v>
      </c>
      <c r="L428" s="1">
        <v>0</v>
      </c>
      <c r="M428" s="1" t="s">
        <v>31</v>
      </c>
      <c r="N428" s="1" t="s">
        <v>31</v>
      </c>
      <c r="O428" s="1" t="s">
        <v>31</v>
      </c>
      <c r="P428" s="2">
        <f t="shared" si="12"/>
        <v>0</v>
      </c>
      <c r="Q428" s="2">
        <f t="shared" si="13"/>
        <v>0</v>
      </c>
    </row>
    <row r="429" spans="1:17" ht="12.5" x14ac:dyDescent="0.25">
      <c r="A429" s="1" t="s">
        <v>77</v>
      </c>
      <c r="B429" s="1" t="s">
        <v>16</v>
      </c>
      <c r="C429" s="1" t="s">
        <v>68</v>
      </c>
      <c r="D429" s="1" t="s">
        <v>41</v>
      </c>
      <c r="E429" s="1">
        <v>422.84504099999998</v>
      </c>
      <c r="F429" s="1">
        <v>188</v>
      </c>
      <c r="G429" s="1">
        <v>7799</v>
      </c>
      <c r="H429" s="1">
        <v>2.2491759999999998</v>
      </c>
      <c r="I429" s="1">
        <v>2.4105999999999999E-2</v>
      </c>
      <c r="J429" s="1">
        <v>54.217854000000003</v>
      </c>
      <c r="K429" s="1">
        <v>0</v>
      </c>
      <c r="L429" s="1">
        <v>0</v>
      </c>
      <c r="M429" s="1" t="s">
        <v>31</v>
      </c>
      <c r="N429" s="1" t="s">
        <v>31</v>
      </c>
      <c r="O429" s="1" t="s">
        <v>31</v>
      </c>
      <c r="P429" s="2">
        <f t="shared" si="12"/>
        <v>0</v>
      </c>
      <c r="Q429" s="2">
        <f t="shared" si="13"/>
        <v>0</v>
      </c>
    </row>
    <row r="430" spans="1:17" ht="12.5" x14ac:dyDescent="0.25">
      <c r="A430" s="1" t="s">
        <v>78</v>
      </c>
      <c r="B430" s="1" t="s">
        <v>16</v>
      </c>
      <c r="C430" s="1" t="s">
        <v>68</v>
      </c>
      <c r="D430" s="1" t="s">
        <v>41</v>
      </c>
      <c r="E430" s="1">
        <v>340.39269000000002</v>
      </c>
      <c r="F430" s="1">
        <v>175</v>
      </c>
      <c r="G430" s="1">
        <v>6749</v>
      </c>
      <c r="H430" s="1">
        <v>1.945101</v>
      </c>
      <c r="I430" s="1">
        <v>2.5930000000000002E-2</v>
      </c>
      <c r="J430" s="1">
        <v>50.436019000000002</v>
      </c>
      <c r="K430" s="1">
        <v>0</v>
      </c>
      <c r="L430" s="1">
        <v>0</v>
      </c>
      <c r="M430" s="1" t="s">
        <v>31</v>
      </c>
      <c r="N430" s="1" t="s">
        <v>31</v>
      </c>
      <c r="O430" s="1" t="s">
        <v>31</v>
      </c>
      <c r="P430" s="2">
        <f t="shared" si="12"/>
        <v>0</v>
      </c>
      <c r="Q430" s="2">
        <f t="shared" si="13"/>
        <v>0</v>
      </c>
    </row>
    <row r="431" spans="1:17" ht="12.5" x14ac:dyDescent="0.25">
      <c r="A431" s="1" t="s">
        <v>79</v>
      </c>
      <c r="B431" s="1" t="s">
        <v>16</v>
      </c>
      <c r="C431" s="1" t="s">
        <v>68</v>
      </c>
      <c r="D431" s="1" t="s">
        <v>41</v>
      </c>
      <c r="E431" s="1">
        <v>696.40617799999995</v>
      </c>
      <c r="F431" s="1">
        <v>325</v>
      </c>
      <c r="G431" s="1">
        <v>14417</v>
      </c>
      <c r="H431" s="1">
        <v>2.1427879999999999</v>
      </c>
      <c r="I431" s="1">
        <v>2.2543000000000001E-2</v>
      </c>
      <c r="J431" s="1">
        <v>48.304513999999998</v>
      </c>
      <c r="K431" s="1">
        <v>1</v>
      </c>
      <c r="L431" s="1">
        <v>4999</v>
      </c>
      <c r="M431" s="1" t="s">
        <v>31</v>
      </c>
      <c r="N431" s="1" t="s">
        <v>31</v>
      </c>
      <c r="O431" s="1" t="s">
        <v>31</v>
      </c>
      <c r="P431" s="2">
        <f t="shared" si="12"/>
        <v>2.0004000800160032E-4</v>
      </c>
      <c r="Q431" s="2">
        <f t="shared" si="13"/>
        <v>696.40617799999995</v>
      </c>
    </row>
    <row r="432" spans="1:17" ht="12.5" x14ac:dyDescent="0.25">
      <c r="A432" s="1" t="s">
        <v>80</v>
      </c>
      <c r="B432" s="1" t="s">
        <v>16</v>
      </c>
      <c r="C432" s="1" t="s">
        <v>68</v>
      </c>
      <c r="D432" s="1" t="s">
        <v>41</v>
      </c>
      <c r="E432" s="1">
        <v>394.67655200000002</v>
      </c>
      <c r="F432" s="1">
        <v>222</v>
      </c>
      <c r="G432" s="1">
        <v>8761</v>
      </c>
      <c r="H432" s="1">
        <v>1.777822</v>
      </c>
      <c r="I432" s="1">
        <v>2.5340000000000001E-2</v>
      </c>
      <c r="J432" s="1">
        <v>45.049258000000002</v>
      </c>
      <c r="K432" s="1">
        <v>0.61</v>
      </c>
      <c r="L432" s="1">
        <v>2200.9270799999999</v>
      </c>
      <c r="M432" s="1" t="s">
        <v>31</v>
      </c>
      <c r="N432" s="1" t="s">
        <v>31</v>
      </c>
      <c r="O432" s="1" t="s">
        <v>31</v>
      </c>
      <c r="P432" s="2">
        <f t="shared" si="12"/>
        <v>2.7715593376223985E-4</v>
      </c>
      <c r="Q432" s="2">
        <f t="shared" si="13"/>
        <v>647.01074098360664</v>
      </c>
    </row>
    <row r="433" spans="1:17" ht="12.5" x14ac:dyDescent="0.25">
      <c r="A433" s="1" t="s">
        <v>81</v>
      </c>
      <c r="B433" s="1" t="s">
        <v>16</v>
      </c>
      <c r="C433" s="1" t="s">
        <v>68</v>
      </c>
      <c r="D433" s="1" t="s">
        <v>41</v>
      </c>
      <c r="E433" s="1">
        <v>370.37862000000001</v>
      </c>
      <c r="F433" s="1">
        <v>206</v>
      </c>
      <c r="G433" s="1">
        <v>7743</v>
      </c>
      <c r="H433" s="1">
        <v>1.7979540000000001</v>
      </c>
      <c r="I433" s="1">
        <v>2.6605E-2</v>
      </c>
      <c r="J433" s="1">
        <v>47.833995000000002</v>
      </c>
      <c r="K433" s="1">
        <v>0</v>
      </c>
      <c r="L433" s="1">
        <v>0</v>
      </c>
      <c r="M433" s="1" t="s">
        <v>31</v>
      </c>
      <c r="N433" s="1" t="s">
        <v>31</v>
      </c>
      <c r="O433" s="1" t="s">
        <v>31</v>
      </c>
      <c r="P433" s="2">
        <f t="shared" si="12"/>
        <v>0</v>
      </c>
      <c r="Q433" s="2">
        <f t="shared" si="13"/>
        <v>0</v>
      </c>
    </row>
    <row r="434" spans="1:17" ht="12.5" x14ac:dyDescent="0.25">
      <c r="A434" s="1" t="s">
        <v>82</v>
      </c>
      <c r="B434" s="1" t="s">
        <v>16</v>
      </c>
      <c r="C434" s="1" t="s">
        <v>68</v>
      </c>
      <c r="D434" s="1" t="s">
        <v>41</v>
      </c>
      <c r="E434" s="1">
        <v>634.91929500000003</v>
      </c>
      <c r="F434" s="1">
        <v>243</v>
      </c>
      <c r="G434" s="1">
        <v>10395</v>
      </c>
      <c r="H434" s="1">
        <v>2.6128369999999999</v>
      </c>
      <c r="I434" s="1">
        <v>2.3376999999999998E-2</v>
      </c>
      <c r="J434" s="1">
        <v>61.079296999999997</v>
      </c>
      <c r="K434" s="1">
        <v>0</v>
      </c>
      <c r="L434" s="1">
        <v>0</v>
      </c>
      <c r="M434" s="1" t="s">
        <v>31</v>
      </c>
      <c r="N434" s="1" t="s">
        <v>31</v>
      </c>
      <c r="O434" s="1" t="s">
        <v>31</v>
      </c>
      <c r="P434" s="2">
        <f t="shared" si="12"/>
        <v>0</v>
      </c>
      <c r="Q434" s="2">
        <f t="shared" si="13"/>
        <v>0</v>
      </c>
    </row>
    <row r="435" spans="1:17" ht="12.5" x14ac:dyDescent="0.25">
      <c r="A435" s="1" t="s">
        <v>83</v>
      </c>
      <c r="B435" s="1" t="s">
        <v>16</v>
      </c>
      <c r="C435" s="1" t="s">
        <v>68</v>
      </c>
      <c r="D435" s="1" t="s">
        <v>41</v>
      </c>
      <c r="E435" s="1">
        <v>355.77230900000001</v>
      </c>
      <c r="F435" s="1">
        <v>107</v>
      </c>
      <c r="G435" s="1">
        <v>5724</v>
      </c>
      <c r="H435" s="1">
        <v>3.3249749999999998</v>
      </c>
      <c r="I435" s="1">
        <v>1.8693000000000001E-2</v>
      </c>
      <c r="J435" s="1">
        <v>62.154491</v>
      </c>
      <c r="K435" s="1">
        <v>0</v>
      </c>
      <c r="L435" s="1">
        <v>0</v>
      </c>
      <c r="M435" s="1" t="s">
        <v>31</v>
      </c>
      <c r="N435" s="1" t="s">
        <v>31</v>
      </c>
      <c r="O435" s="1" t="s">
        <v>31</v>
      </c>
      <c r="P435" s="2">
        <f t="shared" si="12"/>
        <v>0</v>
      </c>
      <c r="Q435" s="2">
        <f t="shared" si="13"/>
        <v>0</v>
      </c>
    </row>
    <row r="436" spans="1:17" ht="12.5" x14ac:dyDescent="0.25">
      <c r="A436" s="3">
        <v>46150</v>
      </c>
      <c r="B436" s="1" t="s">
        <v>16</v>
      </c>
      <c r="C436" s="1" t="s">
        <v>46</v>
      </c>
      <c r="D436" s="1" t="s">
        <v>41</v>
      </c>
      <c r="E436" s="1">
        <v>1.29</v>
      </c>
      <c r="F436" s="1">
        <v>1</v>
      </c>
      <c r="G436" s="1">
        <v>4</v>
      </c>
      <c r="H436" s="1">
        <v>1.29</v>
      </c>
      <c r="I436" s="1">
        <v>0.25</v>
      </c>
      <c r="J436" s="1">
        <v>322.5</v>
      </c>
      <c r="K436" s="1">
        <v>0</v>
      </c>
      <c r="L436" s="1">
        <v>0</v>
      </c>
      <c r="M436" s="1" t="s">
        <v>19</v>
      </c>
      <c r="N436" s="1" t="s">
        <v>69</v>
      </c>
      <c r="O436" s="1" t="s">
        <v>69</v>
      </c>
      <c r="P436" s="2">
        <f t="shared" si="12"/>
        <v>0</v>
      </c>
      <c r="Q436" s="2">
        <f t="shared" si="13"/>
        <v>0</v>
      </c>
    </row>
    <row r="437" spans="1:17" ht="12.5" x14ac:dyDescent="0.25">
      <c r="A437" s="3">
        <v>46181</v>
      </c>
      <c r="B437" s="1" t="s">
        <v>16</v>
      </c>
      <c r="C437" s="1" t="s">
        <v>46</v>
      </c>
      <c r="D437" s="1" t="s">
        <v>41</v>
      </c>
      <c r="E437" s="1">
        <v>267.93</v>
      </c>
      <c r="F437" s="1">
        <v>5</v>
      </c>
      <c r="G437" s="1">
        <v>9</v>
      </c>
      <c r="H437" s="1">
        <v>53.585999999999999</v>
      </c>
      <c r="I437" s="1">
        <v>0.55555600000000005</v>
      </c>
      <c r="J437" s="1">
        <v>29770</v>
      </c>
      <c r="K437" s="1">
        <v>0</v>
      </c>
      <c r="L437" s="1">
        <v>0</v>
      </c>
      <c r="M437" s="1" t="s">
        <v>19</v>
      </c>
      <c r="N437" s="1" t="s">
        <v>69</v>
      </c>
      <c r="O437" s="1" t="s">
        <v>69</v>
      </c>
      <c r="P437" s="2">
        <f t="shared" si="12"/>
        <v>0</v>
      </c>
      <c r="Q437" s="2">
        <f t="shared" si="13"/>
        <v>0</v>
      </c>
    </row>
    <row r="438" spans="1:17" ht="12.5" x14ac:dyDescent="0.25">
      <c r="A438" s="3">
        <v>46211</v>
      </c>
      <c r="B438" s="1" t="s">
        <v>16</v>
      </c>
      <c r="C438" s="1" t="s">
        <v>46</v>
      </c>
      <c r="D438" s="1" t="s">
        <v>41</v>
      </c>
      <c r="E438" s="1">
        <v>2.58</v>
      </c>
      <c r="F438" s="1">
        <v>2</v>
      </c>
      <c r="G438" s="1">
        <v>7</v>
      </c>
      <c r="H438" s="1">
        <v>1.29</v>
      </c>
      <c r="I438" s="1">
        <v>0.28571400000000002</v>
      </c>
      <c r="J438" s="1">
        <v>368.57142900000002</v>
      </c>
      <c r="K438" s="1">
        <v>0</v>
      </c>
      <c r="L438" s="1">
        <v>0</v>
      </c>
      <c r="M438" s="1" t="s">
        <v>19</v>
      </c>
      <c r="N438" s="1" t="s">
        <v>69</v>
      </c>
      <c r="O438" s="1" t="s">
        <v>69</v>
      </c>
      <c r="P438" s="2">
        <f t="shared" si="12"/>
        <v>0</v>
      </c>
      <c r="Q438" s="2">
        <f t="shared" si="13"/>
        <v>0</v>
      </c>
    </row>
    <row r="439" spans="1:17" ht="12.5" x14ac:dyDescent="0.25">
      <c r="A439" s="3">
        <v>46242</v>
      </c>
      <c r="B439" s="1" t="s">
        <v>16</v>
      </c>
      <c r="C439" s="1" t="s">
        <v>46</v>
      </c>
      <c r="D439" s="1" t="s">
        <v>41</v>
      </c>
      <c r="E439" s="1">
        <v>2.58</v>
      </c>
      <c r="F439" s="1">
        <v>2</v>
      </c>
      <c r="G439" s="1">
        <v>3</v>
      </c>
      <c r="H439" s="1">
        <v>1.29</v>
      </c>
      <c r="I439" s="1">
        <v>0.66666700000000001</v>
      </c>
      <c r="J439" s="1">
        <v>860</v>
      </c>
      <c r="K439" s="1">
        <v>0</v>
      </c>
      <c r="L439" s="1">
        <v>0</v>
      </c>
      <c r="M439" s="1" t="s">
        <v>19</v>
      </c>
      <c r="N439" s="1" t="s">
        <v>69</v>
      </c>
      <c r="O439" s="1" t="s">
        <v>69</v>
      </c>
      <c r="P439" s="2">
        <f t="shared" si="12"/>
        <v>0</v>
      </c>
      <c r="Q439" s="2">
        <f t="shared" si="13"/>
        <v>0</v>
      </c>
    </row>
    <row r="440" spans="1:17" ht="12.5" x14ac:dyDescent="0.25">
      <c r="A440" s="3">
        <v>46273</v>
      </c>
      <c r="B440" s="1" t="s">
        <v>16</v>
      </c>
      <c r="C440" s="1" t="s">
        <v>46</v>
      </c>
      <c r="D440" s="1" t="s">
        <v>41</v>
      </c>
      <c r="E440" s="1">
        <v>132.34</v>
      </c>
      <c r="F440" s="1">
        <v>6</v>
      </c>
      <c r="G440" s="1">
        <v>11</v>
      </c>
      <c r="H440" s="1">
        <v>22.056667000000001</v>
      </c>
      <c r="I440" s="1">
        <v>0.54545500000000002</v>
      </c>
      <c r="J440" s="1">
        <v>12030.909089999999</v>
      </c>
      <c r="K440" s="1">
        <v>0</v>
      </c>
      <c r="L440" s="1">
        <v>0</v>
      </c>
      <c r="M440" s="1" t="s">
        <v>19</v>
      </c>
      <c r="N440" s="1" t="s">
        <v>69</v>
      </c>
      <c r="O440" s="1" t="s">
        <v>69</v>
      </c>
      <c r="P440" s="2">
        <f t="shared" si="12"/>
        <v>0</v>
      </c>
      <c r="Q440" s="2">
        <f t="shared" si="13"/>
        <v>0</v>
      </c>
    </row>
    <row r="441" spans="1:17" ht="12.5" x14ac:dyDescent="0.25">
      <c r="A441" s="3">
        <v>46303</v>
      </c>
      <c r="B441" s="1" t="s">
        <v>16</v>
      </c>
      <c r="C441" s="1" t="s">
        <v>46</v>
      </c>
      <c r="D441" s="1" t="s">
        <v>41</v>
      </c>
      <c r="E441" s="1">
        <v>200.75</v>
      </c>
      <c r="F441" s="1">
        <v>4</v>
      </c>
      <c r="G441" s="1">
        <v>8</v>
      </c>
      <c r="H441" s="1">
        <v>50.1875</v>
      </c>
      <c r="I441" s="1">
        <v>0.5</v>
      </c>
      <c r="J441" s="1">
        <v>25093.75</v>
      </c>
      <c r="K441" s="1">
        <v>0</v>
      </c>
      <c r="L441" s="1">
        <v>0</v>
      </c>
      <c r="M441" s="1" t="s">
        <v>19</v>
      </c>
      <c r="N441" s="1" t="s">
        <v>69</v>
      </c>
      <c r="O441" s="1" t="s">
        <v>69</v>
      </c>
      <c r="P441" s="2">
        <f t="shared" si="12"/>
        <v>0</v>
      </c>
      <c r="Q441" s="2">
        <f t="shared" si="13"/>
        <v>0</v>
      </c>
    </row>
    <row r="442" spans="1:17" ht="12.5" x14ac:dyDescent="0.25">
      <c r="A442" s="3">
        <v>46334</v>
      </c>
      <c r="B442" s="1" t="s">
        <v>16</v>
      </c>
      <c r="C442" s="1" t="s">
        <v>46</v>
      </c>
      <c r="D442" s="1" t="s">
        <v>41</v>
      </c>
      <c r="E442" s="1">
        <v>471.77</v>
      </c>
      <c r="F442" s="1">
        <v>3</v>
      </c>
      <c r="G442" s="1">
        <v>10</v>
      </c>
      <c r="H442" s="1">
        <v>157.25666699999999</v>
      </c>
      <c r="I442" s="1">
        <v>0.3</v>
      </c>
      <c r="J442" s="1">
        <v>47177</v>
      </c>
      <c r="K442" s="1">
        <v>0</v>
      </c>
      <c r="L442" s="1">
        <v>0</v>
      </c>
      <c r="M442" s="1" t="s">
        <v>19</v>
      </c>
      <c r="N442" s="1" t="s">
        <v>69</v>
      </c>
      <c r="O442" s="1" t="s">
        <v>69</v>
      </c>
      <c r="P442" s="2">
        <f t="shared" si="12"/>
        <v>0</v>
      </c>
      <c r="Q442" s="2">
        <f t="shared" si="13"/>
        <v>0</v>
      </c>
    </row>
    <row r="443" spans="1:17" ht="12.5" x14ac:dyDescent="0.25">
      <c r="A443" s="3">
        <v>46364</v>
      </c>
      <c r="B443" s="1" t="s">
        <v>16</v>
      </c>
      <c r="C443" s="1" t="s">
        <v>46</v>
      </c>
      <c r="D443" s="1" t="s">
        <v>41</v>
      </c>
      <c r="E443" s="1">
        <v>69.59</v>
      </c>
      <c r="F443" s="1">
        <v>3</v>
      </c>
      <c r="G443" s="1">
        <v>8</v>
      </c>
      <c r="H443" s="1">
        <v>23.196667000000001</v>
      </c>
      <c r="I443" s="1">
        <v>0.375</v>
      </c>
      <c r="J443" s="1">
        <v>8698.75</v>
      </c>
      <c r="K443" s="1">
        <v>0</v>
      </c>
      <c r="L443" s="1">
        <v>0</v>
      </c>
      <c r="M443" s="1" t="s">
        <v>19</v>
      </c>
      <c r="N443" s="1" t="s">
        <v>69</v>
      </c>
      <c r="O443" s="1" t="s">
        <v>69</v>
      </c>
      <c r="P443" s="2">
        <f t="shared" si="12"/>
        <v>0</v>
      </c>
      <c r="Q443" s="2">
        <f t="shared" si="13"/>
        <v>0</v>
      </c>
    </row>
    <row r="444" spans="1:17" ht="12.5" x14ac:dyDescent="0.25">
      <c r="A444" s="1" t="s">
        <v>70</v>
      </c>
      <c r="B444" s="1" t="s">
        <v>16</v>
      </c>
      <c r="C444" s="1" t="s">
        <v>46</v>
      </c>
      <c r="D444" s="1" t="s">
        <v>41</v>
      </c>
      <c r="E444" s="1">
        <v>2.58</v>
      </c>
      <c r="F444" s="1">
        <v>2</v>
      </c>
      <c r="G444" s="1">
        <v>6</v>
      </c>
      <c r="H444" s="1">
        <v>1.29</v>
      </c>
      <c r="I444" s="1">
        <v>0.33333299999999999</v>
      </c>
      <c r="J444" s="1">
        <v>430</v>
      </c>
      <c r="K444" s="1">
        <v>0</v>
      </c>
      <c r="L444" s="1">
        <v>0</v>
      </c>
      <c r="M444" s="1" t="s">
        <v>19</v>
      </c>
      <c r="N444" s="1" t="s">
        <v>69</v>
      </c>
      <c r="O444" s="1" t="s">
        <v>69</v>
      </c>
      <c r="P444" s="2">
        <f t="shared" si="12"/>
        <v>0</v>
      </c>
      <c r="Q444" s="2">
        <f t="shared" si="13"/>
        <v>0</v>
      </c>
    </row>
    <row r="445" spans="1:17" ht="12.5" x14ac:dyDescent="0.25">
      <c r="A445" s="1" t="s">
        <v>71</v>
      </c>
      <c r="B445" s="1" t="s">
        <v>16</v>
      </c>
      <c r="C445" s="1" t="s">
        <v>46</v>
      </c>
      <c r="D445" s="1" t="s">
        <v>41</v>
      </c>
      <c r="E445" s="1">
        <v>139.15</v>
      </c>
      <c r="F445" s="1">
        <v>3</v>
      </c>
      <c r="G445" s="1">
        <v>8</v>
      </c>
      <c r="H445" s="1">
        <v>46.383333</v>
      </c>
      <c r="I445" s="1">
        <v>0.375</v>
      </c>
      <c r="J445" s="1">
        <v>17393.75</v>
      </c>
      <c r="K445" s="1">
        <v>0</v>
      </c>
      <c r="L445" s="1">
        <v>0</v>
      </c>
      <c r="M445" s="1" t="s">
        <v>19</v>
      </c>
      <c r="N445" s="1" t="s">
        <v>69</v>
      </c>
      <c r="O445" s="1" t="s">
        <v>69</v>
      </c>
      <c r="P445" s="2">
        <f t="shared" si="12"/>
        <v>0</v>
      </c>
      <c r="Q445" s="2">
        <f t="shared" si="13"/>
        <v>0</v>
      </c>
    </row>
    <row r="446" spans="1:17" ht="12.5" x14ac:dyDescent="0.25">
      <c r="A446" s="1" t="s">
        <v>72</v>
      </c>
      <c r="B446" s="1" t="s">
        <v>16</v>
      </c>
      <c r="C446" s="1" t="s">
        <v>46</v>
      </c>
      <c r="D446" s="1" t="s">
        <v>41</v>
      </c>
      <c r="E446" s="1">
        <v>155.094514</v>
      </c>
      <c r="F446" s="1">
        <v>4</v>
      </c>
      <c r="G446" s="1">
        <v>9</v>
      </c>
      <c r="H446" s="1">
        <v>38.773629</v>
      </c>
      <c r="I446" s="1">
        <v>0.44444400000000001</v>
      </c>
      <c r="J446" s="1">
        <v>17232.72378</v>
      </c>
      <c r="K446" s="1">
        <v>0</v>
      </c>
      <c r="L446" s="1">
        <v>0</v>
      </c>
      <c r="M446" s="1" t="s">
        <v>19</v>
      </c>
      <c r="N446" s="1" t="s">
        <v>69</v>
      </c>
      <c r="O446" s="1" t="s">
        <v>69</v>
      </c>
      <c r="P446" s="2">
        <f t="shared" si="12"/>
        <v>0</v>
      </c>
      <c r="Q446" s="2">
        <f t="shared" si="13"/>
        <v>0</v>
      </c>
    </row>
    <row r="447" spans="1:17" ht="12.5" x14ac:dyDescent="0.25">
      <c r="A447" s="1" t="s">
        <v>73</v>
      </c>
      <c r="B447" s="1" t="s">
        <v>16</v>
      </c>
      <c r="C447" s="1" t="s">
        <v>46</v>
      </c>
      <c r="D447" s="1" t="s">
        <v>41</v>
      </c>
      <c r="E447" s="1">
        <v>67.743273000000002</v>
      </c>
      <c r="F447" s="1">
        <v>3</v>
      </c>
      <c r="G447" s="1">
        <v>14</v>
      </c>
      <c r="H447" s="1">
        <v>22.581091000000001</v>
      </c>
      <c r="I447" s="1">
        <v>0.214286</v>
      </c>
      <c r="J447" s="1">
        <v>4838.805214</v>
      </c>
      <c r="K447" s="1">
        <v>0</v>
      </c>
      <c r="L447" s="1">
        <v>0</v>
      </c>
      <c r="M447" s="1" t="s">
        <v>19</v>
      </c>
      <c r="N447" s="1" t="s">
        <v>69</v>
      </c>
      <c r="O447" s="1" t="s">
        <v>69</v>
      </c>
      <c r="P447" s="2">
        <f t="shared" si="12"/>
        <v>0</v>
      </c>
      <c r="Q447" s="2">
        <f t="shared" si="13"/>
        <v>0</v>
      </c>
    </row>
    <row r="448" spans="1:17" ht="12.5" x14ac:dyDescent="0.25">
      <c r="A448" s="1" t="s">
        <v>74</v>
      </c>
      <c r="B448" s="1" t="s">
        <v>16</v>
      </c>
      <c r="C448" s="1" t="s">
        <v>46</v>
      </c>
      <c r="D448" s="1" t="s">
        <v>41</v>
      </c>
      <c r="E448" s="1">
        <v>197.11</v>
      </c>
      <c r="F448" s="1">
        <v>3</v>
      </c>
      <c r="G448" s="1">
        <v>8</v>
      </c>
      <c r="H448" s="1">
        <v>65.703333000000001</v>
      </c>
      <c r="I448" s="1">
        <v>0.375</v>
      </c>
      <c r="J448" s="1">
        <v>24638.75</v>
      </c>
      <c r="K448" s="1">
        <v>0</v>
      </c>
      <c r="L448" s="1">
        <v>0</v>
      </c>
      <c r="M448" s="1" t="s">
        <v>19</v>
      </c>
      <c r="N448" s="1" t="s">
        <v>69</v>
      </c>
      <c r="O448" s="1" t="s">
        <v>69</v>
      </c>
      <c r="P448" s="2">
        <f t="shared" si="12"/>
        <v>0</v>
      </c>
      <c r="Q448" s="2">
        <f t="shared" si="13"/>
        <v>0</v>
      </c>
    </row>
    <row r="449" spans="1:17" ht="12.5" x14ac:dyDescent="0.25">
      <c r="A449" s="1" t="s">
        <v>75</v>
      </c>
      <c r="B449" s="1" t="s">
        <v>16</v>
      </c>
      <c r="C449" s="1" t="s">
        <v>46</v>
      </c>
      <c r="D449" s="1" t="s">
        <v>41</v>
      </c>
      <c r="E449" s="1">
        <v>100.97</v>
      </c>
      <c r="F449" s="1">
        <v>4</v>
      </c>
      <c r="G449" s="1">
        <v>7</v>
      </c>
      <c r="H449" s="1">
        <v>25.2425</v>
      </c>
      <c r="I449" s="1">
        <v>0.57142899999999996</v>
      </c>
      <c r="J449" s="1">
        <v>14424.28571</v>
      </c>
      <c r="K449" s="1">
        <v>0</v>
      </c>
      <c r="L449" s="1">
        <v>0</v>
      </c>
      <c r="M449" s="1" t="s">
        <v>19</v>
      </c>
      <c r="N449" s="1" t="s">
        <v>69</v>
      </c>
      <c r="O449" s="1" t="s">
        <v>69</v>
      </c>
      <c r="P449" s="2">
        <f t="shared" si="12"/>
        <v>0</v>
      </c>
      <c r="Q449" s="2">
        <f t="shared" si="13"/>
        <v>0</v>
      </c>
    </row>
    <row r="450" spans="1:17" ht="12.5" x14ac:dyDescent="0.25">
      <c r="A450" s="1" t="s">
        <v>76</v>
      </c>
      <c r="B450" s="1" t="s">
        <v>16</v>
      </c>
      <c r="C450" s="1" t="s">
        <v>46</v>
      </c>
      <c r="D450" s="1" t="s">
        <v>41</v>
      </c>
      <c r="E450" s="1">
        <v>6.5</v>
      </c>
      <c r="F450" s="1">
        <v>2</v>
      </c>
      <c r="G450" s="1">
        <v>7</v>
      </c>
      <c r="H450" s="1">
        <v>3.25</v>
      </c>
      <c r="I450" s="1">
        <v>0.28571400000000002</v>
      </c>
      <c r="J450" s="1">
        <v>928.57142899999997</v>
      </c>
      <c r="K450" s="1">
        <v>0</v>
      </c>
      <c r="L450" s="1">
        <v>0</v>
      </c>
      <c r="M450" s="1" t="s">
        <v>19</v>
      </c>
      <c r="N450" s="1" t="s">
        <v>69</v>
      </c>
      <c r="O450" s="1" t="s">
        <v>69</v>
      </c>
      <c r="P450" s="2">
        <f t="shared" si="12"/>
        <v>0</v>
      </c>
      <c r="Q450" s="2">
        <f t="shared" si="13"/>
        <v>0</v>
      </c>
    </row>
    <row r="451" spans="1:17" ht="12.5" x14ac:dyDescent="0.25">
      <c r="A451" s="1" t="s">
        <v>84</v>
      </c>
      <c r="B451" s="1" t="s">
        <v>16</v>
      </c>
      <c r="C451" s="1" t="s">
        <v>46</v>
      </c>
      <c r="D451" s="1" t="s">
        <v>41</v>
      </c>
      <c r="E451" s="1">
        <v>32.590000000000003</v>
      </c>
      <c r="F451" s="1">
        <v>2</v>
      </c>
      <c r="G451" s="1">
        <v>6</v>
      </c>
      <c r="H451" s="1">
        <v>16.295000000000002</v>
      </c>
      <c r="I451" s="1">
        <v>0.33333299999999999</v>
      </c>
      <c r="J451" s="1">
        <v>5431.6666670000004</v>
      </c>
      <c r="K451" s="1">
        <v>0</v>
      </c>
      <c r="L451" s="1">
        <v>0</v>
      </c>
      <c r="M451" s="1" t="s">
        <v>19</v>
      </c>
      <c r="N451" s="1" t="s">
        <v>69</v>
      </c>
      <c r="O451" s="1" t="s">
        <v>69</v>
      </c>
      <c r="P451" s="2">
        <f t="shared" ref="P451:P514" si="14">IFERROR(K451/ L451, 0)</f>
        <v>0</v>
      </c>
      <c r="Q451" s="2">
        <f t="shared" ref="Q451:Q514" si="15">IFERROR(E451/K451, 0)</f>
        <v>0</v>
      </c>
    </row>
    <row r="452" spans="1:17" ht="12.5" x14ac:dyDescent="0.25">
      <c r="A452" s="1" t="s">
        <v>78</v>
      </c>
      <c r="B452" s="1" t="s">
        <v>16</v>
      </c>
      <c r="C452" s="1" t="s">
        <v>46</v>
      </c>
      <c r="D452" s="1" t="s">
        <v>41</v>
      </c>
      <c r="E452" s="1">
        <v>160.72</v>
      </c>
      <c r="F452" s="1">
        <v>2</v>
      </c>
      <c r="G452" s="1">
        <v>14</v>
      </c>
      <c r="H452" s="1">
        <v>80.36</v>
      </c>
      <c r="I452" s="1">
        <v>0.14285700000000001</v>
      </c>
      <c r="J452" s="1">
        <v>11480</v>
      </c>
      <c r="K452" s="1">
        <v>0</v>
      </c>
      <c r="L452" s="1">
        <v>0</v>
      </c>
      <c r="M452" s="1" t="s">
        <v>19</v>
      </c>
      <c r="N452" s="1" t="s">
        <v>69</v>
      </c>
      <c r="O452" s="1" t="s">
        <v>69</v>
      </c>
      <c r="P452" s="2">
        <f t="shared" si="14"/>
        <v>0</v>
      </c>
      <c r="Q452" s="2">
        <f t="shared" si="15"/>
        <v>0</v>
      </c>
    </row>
    <row r="453" spans="1:17" ht="12.5" x14ac:dyDescent="0.25">
      <c r="A453" s="1" t="s">
        <v>80</v>
      </c>
      <c r="B453" s="1" t="s">
        <v>16</v>
      </c>
      <c r="C453" s="1" t="s">
        <v>46</v>
      </c>
      <c r="D453" s="1" t="s">
        <v>41</v>
      </c>
      <c r="E453" s="1">
        <v>16.98</v>
      </c>
      <c r="F453" s="1">
        <v>1</v>
      </c>
      <c r="G453" s="1">
        <v>6</v>
      </c>
      <c r="H453" s="1">
        <v>16.98</v>
      </c>
      <c r="I453" s="1">
        <v>0.16666700000000001</v>
      </c>
      <c r="J453" s="1">
        <v>2830</v>
      </c>
      <c r="K453" s="1">
        <v>0</v>
      </c>
      <c r="L453" s="1">
        <v>0</v>
      </c>
      <c r="M453" s="1" t="s">
        <v>19</v>
      </c>
      <c r="N453" s="1" t="s">
        <v>69</v>
      </c>
      <c r="O453" s="1" t="s">
        <v>69</v>
      </c>
      <c r="P453" s="2">
        <f t="shared" si="14"/>
        <v>0</v>
      </c>
      <c r="Q453" s="2">
        <f t="shared" si="15"/>
        <v>0</v>
      </c>
    </row>
    <row r="454" spans="1:17" ht="12.5" x14ac:dyDescent="0.25">
      <c r="A454" s="1" t="s">
        <v>81</v>
      </c>
      <c r="B454" s="1" t="s">
        <v>16</v>
      </c>
      <c r="C454" s="1" t="s">
        <v>46</v>
      </c>
      <c r="D454" s="1" t="s">
        <v>41</v>
      </c>
      <c r="E454" s="1">
        <v>2.27</v>
      </c>
      <c r="F454" s="1">
        <v>2</v>
      </c>
      <c r="G454" s="1">
        <v>3</v>
      </c>
      <c r="H454" s="1">
        <v>1.135</v>
      </c>
      <c r="I454" s="1">
        <v>0.66666700000000001</v>
      </c>
      <c r="J454" s="1">
        <v>756.66666699999996</v>
      </c>
      <c r="K454" s="1">
        <v>0</v>
      </c>
      <c r="L454" s="1">
        <v>0</v>
      </c>
      <c r="M454" s="1" t="s">
        <v>19</v>
      </c>
      <c r="N454" s="1" t="s">
        <v>69</v>
      </c>
      <c r="O454" s="1" t="s">
        <v>69</v>
      </c>
      <c r="P454" s="2">
        <f t="shared" si="14"/>
        <v>0</v>
      </c>
      <c r="Q454" s="2">
        <f t="shared" si="15"/>
        <v>0</v>
      </c>
    </row>
    <row r="455" spans="1:17" ht="12.5" x14ac:dyDescent="0.25">
      <c r="A455" s="1" t="s">
        <v>82</v>
      </c>
      <c r="B455" s="1" t="s">
        <v>16</v>
      </c>
      <c r="C455" s="1" t="s">
        <v>46</v>
      </c>
      <c r="D455" s="1" t="s">
        <v>41</v>
      </c>
      <c r="E455" s="1">
        <v>7.82</v>
      </c>
      <c r="F455" s="1">
        <v>2</v>
      </c>
      <c r="G455" s="1">
        <v>3</v>
      </c>
      <c r="H455" s="1">
        <v>3.91</v>
      </c>
      <c r="I455" s="1">
        <v>0.66666700000000001</v>
      </c>
      <c r="J455" s="1">
        <v>2606.666667</v>
      </c>
      <c r="K455" s="1">
        <v>0</v>
      </c>
      <c r="L455" s="1">
        <v>0</v>
      </c>
      <c r="M455" s="1" t="s">
        <v>19</v>
      </c>
      <c r="N455" s="1" t="s">
        <v>69</v>
      </c>
      <c r="O455" s="1" t="s">
        <v>69</v>
      </c>
      <c r="P455" s="2">
        <f t="shared" si="14"/>
        <v>0</v>
      </c>
      <c r="Q455" s="2">
        <f t="shared" si="15"/>
        <v>0</v>
      </c>
    </row>
    <row r="456" spans="1:17" ht="12.5" x14ac:dyDescent="0.25">
      <c r="A456" s="1" t="s">
        <v>83</v>
      </c>
      <c r="B456" s="1" t="s">
        <v>16</v>
      </c>
      <c r="C456" s="1" t="s">
        <v>46</v>
      </c>
      <c r="D456" s="1" t="s">
        <v>41</v>
      </c>
      <c r="E456" s="1">
        <v>1.3</v>
      </c>
      <c r="F456" s="1">
        <v>1</v>
      </c>
      <c r="G456" s="1">
        <v>3</v>
      </c>
      <c r="H456" s="1">
        <v>1.3</v>
      </c>
      <c r="I456" s="1">
        <v>0.33333299999999999</v>
      </c>
      <c r="J456" s="1">
        <v>433.33333299999998</v>
      </c>
      <c r="K456" s="1">
        <v>0</v>
      </c>
      <c r="L456" s="1">
        <v>0</v>
      </c>
      <c r="M456" s="1" t="s">
        <v>19</v>
      </c>
      <c r="N456" s="1" t="s">
        <v>69</v>
      </c>
      <c r="O456" s="1" t="s">
        <v>69</v>
      </c>
      <c r="P456" s="2">
        <f t="shared" si="14"/>
        <v>0</v>
      </c>
      <c r="Q456" s="2">
        <f t="shared" si="15"/>
        <v>0</v>
      </c>
    </row>
    <row r="457" spans="1:17" ht="12.5" x14ac:dyDescent="0.25">
      <c r="A457" s="3">
        <v>46150</v>
      </c>
      <c r="B457" s="1" t="s">
        <v>16</v>
      </c>
      <c r="C457" s="1" t="s">
        <v>56</v>
      </c>
      <c r="D457" s="1" t="s">
        <v>41</v>
      </c>
      <c r="E457" s="1">
        <v>24.790986</v>
      </c>
      <c r="F457" s="1">
        <v>1</v>
      </c>
      <c r="G457" s="1">
        <v>64</v>
      </c>
      <c r="H457" s="1">
        <v>24.790986</v>
      </c>
      <c r="I457" s="1">
        <v>1.5625E-2</v>
      </c>
      <c r="J457" s="1">
        <v>387.35915599999998</v>
      </c>
      <c r="K457" s="1">
        <v>0</v>
      </c>
      <c r="L457" s="1">
        <v>0</v>
      </c>
      <c r="M457" s="1" t="s">
        <v>19</v>
      </c>
      <c r="N457" s="1" t="s">
        <v>69</v>
      </c>
      <c r="O457" s="1" t="s">
        <v>69</v>
      </c>
      <c r="P457" s="2">
        <f t="shared" si="14"/>
        <v>0</v>
      </c>
      <c r="Q457" s="2">
        <f t="shared" si="15"/>
        <v>0</v>
      </c>
    </row>
    <row r="458" spans="1:17" ht="12.5" x14ac:dyDescent="0.25">
      <c r="A458" s="3">
        <v>46181</v>
      </c>
      <c r="B458" s="1" t="s">
        <v>16</v>
      </c>
      <c r="C458" s="1" t="s">
        <v>56</v>
      </c>
      <c r="D458" s="1" t="s">
        <v>41</v>
      </c>
      <c r="E458" s="1">
        <v>22.81</v>
      </c>
      <c r="F458" s="1">
        <v>2</v>
      </c>
      <c r="G458" s="1">
        <v>177</v>
      </c>
      <c r="H458" s="1">
        <v>11.404999999999999</v>
      </c>
      <c r="I458" s="1">
        <v>1.1299E-2</v>
      </c>
      <c r="J458" s="1">
        <v>128.87005600000001</v>
      </c>
      <c r="K458" s="1">
        <v>0</v>
      </c>
      <c r="L458" s="1">
        <v>0</v>
      </c>
      <c r="M458" s="1" t="s">
        <v>19</v>
      </c>
      <c r="N458" s="1" t="s">
        <v>69</v>
      </c>
      <c r="O458" s="1" t="s">
        <v>69</v>
      </c>
      <c r="P458" s="2">
        <f t="shared" si="14"/>
        <v>0</v>
      </c>
      <c r="Q458" s="2">
        <f t="shared" si="15"/>
        <v>0</v>
      </c>
    </row>
    <row r="459" spans="1:17" ht="12.5" x14ac:dyDescent="0.25">
      <c r="A459" s="3">
        <v>46211</v>
      </c>
      <c r="B459" s="1" t="s">
        <v>16</v>
      </c>
      <c r="C459" s="1" t="s">
        <v>56</v>
      </c>
      <c r="D459" s="1" t="s">
        <v>41</v>
      </c>
      <c r="E459" s="1">
        <v>60.2</v>
      </c>
      <c r="F459" s="1">
        <v>3</v>
      </c>
      <c r="G459" s="1">
        <v>136</v>
      </c>
      <c r="H459" s="1">
        <v>20.066666999999999</v>
      </c>
      <c r="I459" s="1">
        <v>2.2058999999999999E-2</v>
      </c>
      <c r="J459" s="1">
        <v>442.64705900000001</v>
      </c>
      <c r="K459" s="1">
        <v>0</v>
      </c>
      <c r="L459" s="1">
        <v>0</v>
      </c>
      <c r="M459" s="1" t="s">
        <v>19</v>
      </c>
      <c r="N459" s="1" t="s">
        <v>69</v>
      </c>
      <c r="O459" s="1" t="s">
        <v>69</v>
      </c>
      <c r="P459" s="2">
        <f t="shared" si="14"/>
        <v>0</v>
      </c>
      <c r="Q459" s="2">
        <f t="shared" si="15"/>
        <v>0</v>
      </c>
    </row>
    <row r="460" spans="1:17" ht="12.5" x14ac:dyDescent="0.25">
      <c r="A460" s="3">
        <v>46242</v>
      </c>
      <c r="B460" s="1" t="s">
        <v>16</v>
      </c>
      <c r="C460" s="1" t="s">
        <v>56</v>
      </c>
      <c r="D460" s="1" t="s">
        <v>41</v>
      </c>
      <c r="E460" s="1">
        <v>36.54</v>
      </c>
      <c r="F460" s="1">
        <v>3</v>
      </c>
      <c r="G460" s="1">
        <v>176</v>
      </c>
      <c r="H460" s="1">
        <v>12.18</v>
      </c>
      <c r="I460" s="1">
        <v>1.7045000000000001E-2</v>
      </c>
      <c r="J460" s="1">
        <v>207.61363600000001</v>
      </c>
      <c r="K460" s="1">
        <v>0</v>
      </c>
      <c r="L460" s="1">
        <v>0</v>
      </c>
      <c r="M460" s="1" t="s">
        <v>19</v>
      </c>
      <c r="N460" s="1" t="s">
        <v>69</v>
      </c>
      <c r="O460" s="1" t="s">
        <v>69</v>
      </c>
      <c r="P460" s="2">
        <f t="shared" si="14"/>
        <v>0</v>
      </c>
      <c r="Q460" s="2">
        <f t="shared" si="15"/>
        <v>0</v>
      </c>
    </row>
    <row r="461" spans="1:17" ht="12.5" x14ac:dyDescent="0.25">
      <c r="A461" s="3">
        <v>46273</v>
      </c>
      <c r="B461" s="1" t="s">
        <v>16</v>
      </c>
      <c r="C461" s="1" t="s">
        <v>56</v>
      </c>
      <c r="D461" s="1" t="s">
        <v>41</v>
      </c>
      <c r="E461" s="1">
        <v>30.01</v>
      </c>
      <c r="F461" s="1">
        <v>5</v>
      </c>
      <c r="G461" s="1">
        <v>153</v>
      </c>
      <c r="H461" s="1">
        <v>6.0019999999999998</v>
      </c>
      <c r="I461" s="1">
        <v>3.2680000000000001E-2</v>
      </c>
      <c r="J461" s="1">
        <v>196.14379099999999</v>
      </c>
      <c r="K461" s="1">
        <v>0</v>
      </c>
      <c r="L461" s="1">
        <v>0</v>
      </c>
      <c r="M461" s="1" t="s">
        <v>19</v>
      </c>
      <c r="N461" s="1" t="s">
        <v>69</v>
      </c>
      <c r="O461" s="1" t="s">
        <v>69</v>
      </c>
      <c r="P461" s="2">
        <f t="shared" si="14"/>
        <v>0</v>
      </c>
      <c r="Q461" s="2">
        <f t="shared" si="15"/>
        <v>0</v>
      </c>
    </row>
    <row r="462" spans="1:17" ht="12.5" x14ac:dyDescent="0.25">
      <c r="A462" s="3">
        <v>46303</v>
      </c>
      <c r="B462" s="1" t="s">
        <v>16</v>
      </c>
      <c r="C462" s="1" t="s">
        <v>56</v>
      </c>
      <c r="D462" s="1" t="s">
        <v>41</v>
      </c>
      <c r="E462" s="1">
        <v>44.89</v>
      </c>
      <c r="F462" s="1">
        <v>6</v>
      </c>
      <c r="G462" s="1">
        <v>203</v>
      </c>
      <c r="H462" s="1">
        <v>7.4816669999999998</v>
      </c>
      <c r="I462" s="1">
        <v>2.9557E-2</v>
      </c>
      <c r="J462" s="1">
        <v>221.133005</v>
      </c>
      <c r="K462" s="1">
        <v>0</v>
      </c>
      <c r="L462" s="1">
        <v>0</v>
      </c>
      <c r="M462" s="1" t="s">
        <v>19</v>
      </c>
      <c r="N462" s="1" t="s">
        <v>69</v>
      </c>
      <c r="O462" s="1" t="s">
        <v>69</v>
      </c>
      <c r="P462" s="2">
        <f t="shared" si="14"/>
        <v>0</v>
      </c>
      <c r="Q462" s="2">
        <f t="shared" si="15"/>
        <v>0</v>
      </c>
    </row>
    <row r="463" spans="1:17" ht="12.5" x14ac:dyDescent="0.25">
      <c r="A463" s="3">
        <v>46364</v>
      </c>
      <c r="B463" s="1" t="s">
        <v>16</v>
      </c>
      <c r="C463" s="1" t="s">
        <v>56</v>
      </c>
      <c r="D463" s="1" t="s">
        <v>41</v>
      </c>
      <c r="E463" s="1">
        <v>74.56</v>
      </c>
      <c r="F463" s="1">
        <v>2</v>
      </c>
      <c r="G463" s="1">
        <v>61</v>
      </c>
      <c r="H463" s="1">
        <v>37.28</v>
      </c>
      <c r="I463" s="1">
        <v>3.2786999999999997E-2</v>
      </c>
      <c r="J463" s="1">
        <v>1222.2950820000001</v>
      </c>
      <c r="K463" s="1">
        <v>0</v>
      </c>
      <c r="L463" s="1">
        <v>0</v>
      </c>
      <c r="M463" s="1" t="s">
        <v>19</v>
      </c>
      <c r="N463" s="1" t="s">
        <v>69</v>
      </c>
      <c r="O463" s="1" t="s">
        <v>69</v>
      </c>
      <c r="P463" s="2">
        <f t="shared" si="14"/>
        <v>0</v>
      </c>
      <c r="Q463" s="2">
        <f t="shared" si="15"/>
        <v>0</v>
      </c>
    </row>
    <row r="464" spans="1:17" ht="12.5" x14ac:dyDescent="0.25">
      <c r="A464" s="1" t="s">
        <v>71</v>
      </c>
      <c r="B464" s="1" t="s">
        <v>16</v>
      </c>
      <c r="C464" s="1" t="s">
        <v>56</v>
      </c>
      <c r="D464" s="1" t="s">
        <v>41</v>
      </c>
      <c r="E464" s="1">
        <v>13.368790000000001</v>
      </c>
      <c r="F464" s="1">
        <v>2</v>
      </c>
      <c r="G464" s="1">
        <v>87</v>
      </c>
      <c r="H464" s="1">
        <v>6.6843950000000003</v>
      </c>
      <c r="I464" s="1">
        <v>2.2988999999999999E-2</v>
      </c>
      <c r="J464" s="1">
        <v>153.664253</v>
      </c>
      <c r="K464" s="1">
        <v>0</v>
      </c>
      <c r="L464" s="1">
        <v>0</v>
      </c>
      <c r="M464" s="1" t="s">
        <v>19</v>
      </c>
      <c r="N464" s="1" t="s">
        <v>69</v>
      </c>
      <c r="O464" s="1" t="s">
        <v>69</v>
      </c>
      <c r="P464" s="2">
        <f t="shared" si="14"/>
        <v>0</v>
      </c>
      <c r="Q464" s="2">
        <f t="shared" si="15"/>
        <v>0</v>
      </c>
    </row>
    <row r="465" spans="1:17" ht="12.5" x14ac:dyDescent="0.25">
      <c r="A465" s="1" t="s">
        <v>75</v>
      </c>
      <c r="B465" s="1" t="s">
        <v>16</v>
      </c>
      <c r="C465" s="1" t="s">
        <v>56</v>
      </c>
      <c r="D465" s="1" t="s">
        <v>41</v>
      </c>
      <c r="E465" s="1">
        <v>50.718333999999999</v>
      </c>
      <c r="F465" s="1">
        <v>3</v>
      </c>
      <c r="G465" s="1">
        <v>213</v>
      </c>
      <c r="H465" s="1">
        <v>16.906110999999999</v>
      </c>
      <c r="I465" s="1">
        <v>1.4085E-2</v>
      </c>
      <c r="J465" s="1">
        <v>238.11424400000001</v>
      </c>
      <c r="K465" s="1">
        <v>0</v>
      </c>
      <c r="L465" s="1">
        <v>0</v>
      </c>
      <c r="M465" s="1" t="s">
        <v>19</v>
      </c>
      <c r="N465" s="1" t="s">
        <v>69</v>
      </c>
      <c r="O465" s="1" t="s">
        <v>69</v>
      </c>
      <c r="P465" s="2">
        <f t="shared" si="14"/>
        <v>0</v>
      </c>
      <c r="Q465" s="2">
        <f t="shared" si="15"/>
        <v>0</v>
      </c>
    </row>
    <row r="466" spans="1:17" ht="12.5" x14ac:dyDescent="0.25">
      <c r="A466" s="1" t="s">
        <v>76</v>
      </c>
      <c r="B466" s="1" t="s">
        <v>16</v>
      </c>
      <c r="C466" s="1" t="s">
        <v>56</v>
      </c>
      <c r="D466" s="1" t="s">
        <v>41</v>
      </c>
      <c r="E466" s="1">
        <v>285.14993500000003</v>
      </c>
      <c r="F466" s="1">
        <v>9</v>
      </c>
      <c r="G466" s="1">
        <v>518</v>
      </c>
      <c r="H466" s="1">
        <v>31.683326000000001</v>
      </c>
      <c r="I466" s="1">
        <v>1.7375000000000002E-2</v>
      </c>
      <c r="J466" s="1">
        <v>550.48249999999996</v>
      </c>
      <c r="K466" s="1">
        <v>0</v>
      </c>
      <c r="L466" s="1">
        <v>0</v>
      </c>
      <c r="M466" s="1" t="s">
        <v>19</v>
      </c>
      <c r="N466" s="1" t="s">
        <v>69</v>
      </c>
      <c r="O466" s="1" t="s">
        <v>69</v>
      </c>
      <c r="P466" s="2">
        <f t="shared" si="14"/>
        <v>0</v>
      </c>
      <c r="Q466" s="2">
        <f t="shared" si="15"/>
        <v>0</v>
      </c>
    </row>
    <row r="467" spans="1:17" ht="12.5" x14ac:dyDescent="0.25">
      <c r="A467" s="1" t="s">
        <v>84</v>
      </c>
      <c r="B467" s="1" t="s">
        <v>16</v>
      </c>
      <c r="C467" s="1" t="s">
        <v>56</v>
      </c>
      <c r="D467" s="1" t="s">
        <v>41</v>
      </c>
      <c r="E467" s="1">
        <v>171.90660500000001</v>
      </c>
      <c r="F467" s="1">
        <v>7</v>
      </c>
      <c r="G467" s="1">
        <v>454</v>
      </c>
      <c r="H467" s="1">
        <v>24.558085999999999</v>
      </c>
      <c r="I467" s="1">
        <v>1.5419E-2</v>
      </c>
      <c r="J467" s="1">
        <v>378.64891</v>
      </c>
      <c r="K467" s="1">
        <v>0</v>
      </c>
      <c r="L467" s="1">
        <v>0</v>
      </c>
      <c r="M467" s="1" t="s">
        <v>19</v>
      </c>
      <c r="N467" s="1" t="s">
        <v>69</v>
      </c>
      <c r="O467" s="1" t="s">
        <v>69</v>
      </c>
      <c r="P467" s="2">
        <f t="shared" si="14"/>
        <v>0</v>
      </c>
      <c r="Q467" s="2">
        <f t="shared" si="15"/>
        <v>0</v>
      </c>
    </row>
    <row r="468" spans="1:17" ht="12.5" x14ac:dyDescent="0.25">
      <c r="A468" s="1" t="s">
        <v>77</v>
      </c>
      <c r="B468" s="1" t="s">
        <v>16</v>
      </c>
      <c r="C468" s="1" t="s">
        <v>56</v>
      </c>
      <c r="D468" s="1" t="s">
        <v>41</v>
      </c>
      <c r="E468" s="1">
        <v>256.067947</v>
      </c>
      <c r="F468" s="1">
        <v>7</v>
      </c>
      <c r="G468" s="1">
        <v>500</v>
      </c>
      <c r="H468" s="1">
        <v>36.581135000000003</v>
      </c>
      <c r="I468" s="1">
        <v>1.4E-2</v>
      </c>
      <c r="J468" s="1">
        <v>512.13589400000001</v>
      </c>
      <c r="K468" s="1">
        <v>0</v>
      </c>
      <c r="L468" s="1">
        <v>0</v>
      </c>
      <c r="M468" s="1" t="s">
        <v>19</v>
      </c>
      <c r="N468" s="1" t="s">
        <v>69</v>
      </c>
      <c r="O468" s="1" t="s">
        <v>69</v>
      </c>
      <c r="P468" s="2">
        <f t="shared" si="14"/>
        <v>0</v>
      </c>
      <c r="Q468" s="2">
        <f t="shared" si="15"/>
        <v>0</v>
      </c>
    </row>
    <row r="469" spans="1:17" ht="12.5" x14ac:dyDescent="0.25">
      <c r="A469" s="1" t="s">
        <v>78</v>
      </c>
      <c r="B469" s="1" t="s">
        <v>16</v>
      </c>
      <c r="C469" s="1" t="s">
        <v>56</v>
      </c>
      <c r="D469" s="1" t="s">
        <v>41</v>
      </c>
      <c r="E469" s="1">
        <v>258.50209999999998</v>
      </c>
      <c r="F469" s="1">
        <v>5</v>
      </c>
      <c r="G469" s="1">
        <v>288</v>
      </c>
      <c r="H469" s="1">
        <v>51.700420000000001</v>
      </c>
      <c r="I469" s="1">
        <v>1.7361000000000001E-2</v>
      </c>
      <c r="J469" s="1">
        <v>897.57673599999998</v>
      </c>
      <c r="K469" s="1">
        <v>0</v>
      </c>
      <c r="L469" s="1">
        <v>0</v>
      </c>
      <c r="M469" s="1" t="s">
        <v>19</v>
      </c>
      <c r="N469" s="1" t="s">
        <v>69</v>
      </c>
      <c r="O469" s="1" t="s">
        <v>69</v>
      </c>
      <c r="P469" s="2">
        <f t="shared" si="14"/>
        <v>0</v>
      </c>
      <c r="Q469" s="2">
        <f t="shared" si="15"/>
        <v>0</v>
      </c>
    </row>
    <row r="470" spans="1:17" ht="12.5" x14ac:dyDescent="0.25">
      <c r="A470" s="1" t="s">
        <v>79</v>
      </c>
      <c r="B470" s="1" t="s">
        <v>16</v>
      </c>
      <c r="C470" s="1" t="s">
        <v>56</v>
      </c>
      <c r="D470" s="1" t="s">
        <v>41</v>
      </c>
      <c r="E470" s="1">
        <v>186.20126500000001</v>
      </c>
      <c r="F470" s="1">
        <v>13</v>
      </c>
      <c r="G470" s="1">
        <v>546</v>
      </c>
      <c r="H470" s="1">
        <v>14.323174</v>
      </c>
      <c r="I470" s="1">
        <v>2.3810000000000001E-2</v>
      </c>
      <c r="J470" s="1">
        <v>341.02795800000001</v>
      </c>
      <c r="K470" s="1">
        <v>0</v>
      </c>
      <c r="L470" s="1">
        <v>0</v>
      </c>
      <c r="M470" s="1" t="s">
        <v>19</v>
      </c>
      <c r="N470" s="1" t="s">
        <v>69</v>
      </c>
      <c r="O470" s="1" t="s">
        <v>69</v>
      </c>
      <c r="P470" s="2">
        <f t="shared" si="14"/>
        <v>0</v>
      </c>
      <c r="Q470" s="2">
        <f t="shared" si="15"/>
        <v>0</v>
      </c>
    </row>
    <row r="471" spans="1:17" ht="12.5" x14ac:dyDescent="0.25">
      <c r="A471" s="1" t="s">
        <v>80</v>
      </c>
      <c r="B471" s="1" t="s">
        <v>16</v>
      </c>
      <c r="C471" s="1" t="s">
        <v>56</v>
      </c>
      <c r="D471" s="1" t="s">
        <v>41</v>
      </c>
      <c r="E471" s="1">
        <v>117.26</v>
      </c>
      <c r="F471" s="1">
        <v>3</v>
      </c>
      <c r="G471" s="1">
        <v>168</v>
      </c>
      <c r="H471" s="1">
        <v>39.086666999999998</v>
      </c>
      <c r="I471" s="1">
        <v>1.7857000000000001E-2</v>
      </c>
      <c r="J471" s="1">
        <v>697.97618999999997</v>
      </c>
      <c r="K471" s="1">
        <v>0</v>
      </c>
      <c r="L471" s="1">
        <v>0</v>
      </c>
      <c r="M471" s="1" t="s">
        <v>19</v>
      </c>
      <c r="N471" s="1" t="s">
        <v>69</v>
      </c>
      <c r="O471" s="1" t="s">
        <v>69</v>
      </c>
      <c r="P471" s="2">
        <f t="shared" si="14"/>
        <v>0</v>
      </c>
      <c r="Q471" s="2">
        <f t="shared" si="15"/>
        <v>0</v>
      </c>
    </row>
    <row r="472" spans="1:17" ht="12.5" x14ac:dyDescent="0.25">
      <c r="A472" s="1" t="s">
        <v>81</v>
      </c>
      <c r="B472" s="1" t="s">
        <v>16</v>
      </c>
      <c r="C472" s="1" t="s">
        <v>56</v>
      </c>
      <c r="D472" s="1" t="s">
        <v>41</v>
      </c>
      <c r="E472" s="1">
        <v>33.869999999999997</v>
      </c>
      <c r="F472" s="1">
        <v>2</v>
      </c>
      <c r="G472" s="1">
        <v>48</v>
      </c>
      <c r="H472" s="1">
        <v>16.934999999999999</v>
      </c>
      <c r="I472" s="1">
        <v>4.1667000000000003E-2</v>
      </c>
      <c r="J472" s="1">
        <v>705.625</v>
      </c>
      <c r="K472" s="1">
        <v>0</v>
      </c>
      <c r="L472" s="1">
        <v>0</v>
      </c>
      <c r="M472" s="1" t="s">
        <v>19</v>
      </c>
      <c r="N472" s="1" t="s">
        <v>69</v>
      </c>
      <c r="O472" s="1" t="s">
        <v>69</v>
      </c>
      <c r="P472" s="2">
        <f t="shared" si="14"/>
        <v>0</v>
      </c>
      <c r="Q472" s="2">
        <f t="shared" si="15"/>
        <v>0</v>
      </c>
    </row>
    <row r="473" spans="1:17" ht="12.5" x14ac:dyDescent="0.25">
      <c r="A473" s="1" t="s">
        <v>82</v>
      </c>
      <c r="B473" s="1" t="s">
        <v>16</v>
      </c>
      <c r="C473" s="1" t="s">
        <v>56</v>
      </c>
      <c r="D473" s="1" t="s">
        <v>41</v>
      </c>
      <c r="E473" s="1">
        <v>12.489347</v>
      </c>
      <c r="F473" s="1">
        <v>2</v>
      </c>
      <c r="G473" s="1">
        <v>102</v>
      </c>
      <c r="H473" s="1">
        <v>6.2446739999999998</v>
      </c>
      <c r="I473" s="1">
        <v>1.9608E-2</v>
      </c>
      <c r="J473" s="1">
        <v>122.44457800000001</v>
      </c>
      <c r="K473" s="1">
        <v>0</v>
      </c>
      <c r="L473" s="1">
        <v>0</v>
      </c>
      <c r="M473" s="1" t="s">
        <v>19</v>
      </c>
      <c r="N473" s="1" t="s">
        <v>69</v>
      </c>
      <c r="O473" s="1" t="s">
        <v>69</v>
      </c>
      <c r="P473" s="2">
        <f t="shared" si="14"/>
        <v>0</v>
      </c>
      <c r="Q473" s="2">
        <f t="shared" si="15"/>
        <v>0</v>
      </c>
    </row>
    <row r="474" spans="1:17" ht="12.5" x14ac:dyDescent="0.25">
      <c r="A474" s="1" t="s">
        <v>83</v>
      </c>
      <c r="B474" s="1" t="s">
        <v>16</v>
      </c>
      <c r="C474" s="1" t="s">
        <v>56</v>
      </c>
      <c r="D474" s="1" t="s">
        <v>41</v>
      </c>
      <c r="E474" s="1">
        <v>3.48</v>
      </c>
      <c r="F474" s="1">
        <v>3</v>
      </c>
      <c r="G474" s="1">
        <v>56</v>
      </c>
      <c r="H474" s="1">
        <v>1.1599999999999999</v>
      </c>
      <c r="I474" s="1">
        <v>5.3571000000000001E-2</v>
      </c>
      <c r="J474" s="1">
        <v>62.142856999999999</v>
      </c>
      <c r="K474" s="1">
        <v>0</v>
      </c>
      <c r="L474" s="1">
        <v>0</v>
      </c>
      <c r="M474" s="1" t="s">
        <v>19</v>
      </c>
      <c r="N474" s="1" t="s">
        <v>69</v>
      </c>
      <c r="O474" s="1" t="s">
        <v>69</v>
      </c>
      <c r="P474" s="2">
        <f t="shared" si="14"/>
        <v>0</v>
      </c>
      <c r="Q474" s="2">
        <f t="shared" si="15"/>
        <v>0</v>
      </c>
    </row>
    <row r="475" spans="1:17" ht="12.5" x14ac:dyDescent="0.25">
      <c r="A475" s="3">
        <v>46150</v>
      </c>
      <c r="B475" s="1" t="s">
        <v>16</v>
      </c>
      <c r="C475" s="1" t="s">
        <v>46</v>
      </c>
      <c r="D475" s="1" t="s">
        <v>41</v>
      </c>
      <c r="E475" s="1">
        <v>108.46</v>
      </c>
      <c r="F475" s="1">
        <v>2</v>
      </c>
      <c r="G475" s="1">
        <v>4</v>
      </c>
      <c r="H475" s="1">
        <v>54.23</v>
      </c>
      <c r="I475" s="1">
        <v>0.5</v>
      </c>
      <c r="J475" s="1">
        <v>27115</v>
      </c>
      <c r="K475" s="1">
        <v>0</v>
      </c>
      <c r="L475" s="1">
        <v>0</v>
      </c>
      <c r="M475" s="1" t="s">
        <v>43</v>
      </c>
      <c r="N475" s="1" t="s">
        <v>44</v>
      </c>
      <c r="O475" s="1" t="s">
        <v>44</v>
      </c>
      <c r="P475" s="2">
        <f t="shared" si="14"/>
        <v>0</v>
      </c>
      <c r="Q475" s="2">
        <f t="shared" si="15"/>
        <v>0</v>
      </c>
    </row>
    <row r="476" spans="1:17" ht="12.5" x14ac:dyDescent="0.25">
      <c r="A476" s="3">
        <v>46211</v>
      </c>
      <c r="B476" s="1" t="s">
        <v>16</v>
      </c>
      <c r="C476" s="1" t="s">
        <v>46</v>
      </c>
      <c r="D476" s="1" t="s">
        <v>41</v>
      </c>
      <c r="E476" s="1">
        <v>2.88</v>
      </c>
      <c r="F476" s="1">
        <v>3</v>
      </c>
      <c r="G476" s="1">
        <v>15</v>
      </c>
      <c r="H476" s="1">
        <v>0.96</v>
      </c>
      <c r="I476" s="1">
        <v>0.2</v>
      </c>
      <c r="J476" s="1">
        <v>192</v>
      </c>
      <c r="K476" s="1">
        <v>0</v>
      </c>
      <c r="L476" s="1">
        <v>0</v>
      </c>
      <c r="M476" s="1" t="s">
        <v>43</v>
      </c>
      <c r="N476" s="1" t="s">
        <v>44</v>
      </c>
      <c r="O476" s="1" t="s">
        <v>44</v>
      </c>
      <c r="P476" s="2">
        <f t="shared" si="14"/>
        <v>0</v>
      </c>
      <c r="Q476" s="2">
        <f t="shared" si="15"/>
        <v>0</v>
      </c>
    </row>
    <row r="477" spans="1:17" ht="12.5" x14ac:dyDescent="0.25">
      <c r="A477" s="3">
        <v>46242</v>
      </c>
      <c r="B477" s="1" t="s">
        <v>16</v>
      </c>
      <c r="C477" s="1" t="s">
        <v>46</v>
      </c>
      <c r="D477" s="1" t="s">
        <v>41</v>
      </c>
      <c r="E477" s="1">
        <v>222.93859599999999</v>
      </c>
      <c r="F477" s="1">
        <v>3</v>
      </c>
      <c r="G477" s="1">
        <v>9</v>
      </c>
      <c r="H477" s="1">
        <v>74.312865000000002</v>
      </c>
      <c r="I477" s="1">
        <v>0.33333299999999999</v>
      </c>
      <c r="J477" s="1">
        <v>24770.955109999999</v>
      </c>
      <c r="K477" s="1">
        <v>0</v>
      </c>
      <c r="L477" s="1">
        <v>0</v>
      </c>
      <c r="M477" s="1" t="s">
        <v>43</v>
      </c>
      <c r="N477" s="1" t="s">
        <v>44</v>
      </c>
      <c r="O477" s="1" t="s">
        <v>44</v>
      </c>
      <c r="P477" s="2">
        <f t="shared" si="14"/>
        <v>0</v>
      </c>
      <c r="Q477" s="2">
        <f t="shared" si="15"/>
        <v>0</v>
      </c>
    </row>
    <row r="478" spans="1:17" ht="12.5" x14ac:dyDescent="0.25">
      <c r="A478" s="3">
        <v>46273</v>
      </c>
      <c r="B478" s="1" t="s">
        <v>16</v>
      </c>
      <c r="C478" s="1" t="s">
        <v>46</v>
      </c>
      <c r="D478" s="1" t="s">
        <v>41</v>
      </c>
      <c r="E478" s="1">
        <v>225.7</v>
      </c>
      <c r="F478" s="1">
        <v>10</v>
      </c>
      <c r="G478" s="1">
        <v>28</v>
      </c>
      <c r="H478" s="1">
        <v>22.57</v>
      </c>
      <c r="I478" s="1">
        <v>0.35714299999999999</v>
      </c>
      <c r="J478" s="1">
        <v>8060.7142860000004</v>
      </c>
      <c r="K478" s="1">
        <v>0</v>
      </c>
      <c r="L478" s="1">
        <v>0</v>
      </c>
      <c r="M478" s="1" t="s">
        <v>43</v>
      </c>
      <c r="N478" s="1" t="s">
        <v>44</v>
      </c>
      <c r="O478" s="1" t="s">
        <v>44</v>
      </c>
      <c r="P478" s="2">
        <f t="shared" si="14"/>
        <v>0</v>
      </c>
      <c r="Q478" s="2">
        <f t="shared" si="15"/>
        <v>0</v>
      </c>
    </row>
    <row r="479" spans="1:17" ht="12.5" x14ac:dyDescent="0.25">
      <c r="A479" s="3">
        <v>46303</v>
      </c>
      <c r="B479" s="1" t="s">
        <v>16</v>
      </c>
      <c r="C479" s="1" t="s">
        <v>46</v>
      </c>
      <c r="D479" s="1" t="s">
        <v>41</v>
      </c>
      <c r="E479" s="1">
        <v>8.8707619999999991</v>
      </c>
      <c r="F479" s="1">
        <v>10</v>
      </c>
      <c r="G479" s="1">
        <v>22</v>
      </c>
      <c r="H479" s="1">
        <v>0.88707599999999998</v>
      </c>
      <c r="I479" s="1">
        <v>0.45454499999999998</v>
      </c>
      <c r="J479" s="1">
        <v>403.216455</v>
      </c>
      <c r="K479" s="1">
        <v>0</v>
      </c>
      <c r="L479" s="1">
        <v>0</v>
      </c>
      <c r="M479" s="1" t="s">
        <v>43</v>
      </c>
      <c r="N479" s="1" t="s">
        <v>44</v>
      </c>
      <c r="O479" s="1" t="s">
        <v>44</v>
      </c>
      <c r="P479" s="2">
        <f t="shared" si="14"/>
        <v>0</v>
      </c>
      <c r="Q479" s="2">
        <f t="shared" si="15"/>
        <v>0</v>
      </c>
    </row>
    <row r="480" spans="1:17" ht="12.5" x14ac:dyDescent="0.25">
      <c r="A480" s="3">
        <v>46334</v>
      </c>
      <c r="B480" s="1" t="s">
        <v>16</v>
      </c>
      <c r="C480" s="1" t="s">
        <v>46</v>
      </c>
      <c r="D480" s="1" t="s">
        <v>41</v>
      </c>
      <c r="E480" s="1">
        <v>161.33000000000001</v>
      </c>
      <c r="F480" s="1">
        <v>5</v>
      </c>
      <c r="G480" s="1">
        <v>18</v>
      </c>
      <c r="H480" s="1">
        <v>32.265999999999998</v>
      </c>
      <c r="I480" s="1">
        <v>0.27777800000000002</v>
      </c>
      <c r="J480" s="1">
        <v>8962.7777779999997</v>
      </c>
      <c r="K480" s="1">
        <v>0</v>
      </c>
      <c r="L480" s="1">
        <v>0</v>
      </c>
      <c r="M480" s="1" t="s">
        <v>43</v>
      </c>
      <c r="N480" s="1" t="s">
        <v>44</v>
      </c>
      <c r="O480" s="1" t="s">
        <v>44</v>
      </c>
      <c r="P480" s="2">
        <f t="shared" si="14"/>
        <v>0</v>
      </c>
      <c r="Q480" s="2">
        <f t="shared" si="15"/>
        <v>0</v>
      </c>
    </row>
    <row r="481" spans="1:17" ht="12.5" x14ac:dyDescent="0.25">
      <c r="A481" s="3">
        <v>46364</v>
      </c>
      <c r="B481" s="1" t="s">
        <v>16</v>
      </c>
      <c r="C481" s="1" t="s">
        <v>46</v>
      </c>
      <c r="D481" s="1" t="s">
        <v>41</v>
      </c>
      <c r="E481" s="1">
        <v>67.78</v>
      </c>
      <c r="F481" s="1">
        <v>2</v>
      </c>
      <c r="G481" s="1">
        <v>6</v>
      </c>
      <c r="H481" s="1">
        <v>33.89</v>
      </c>
      <c r="I481" s="1">
        <v>0.33333299999999999</v>
      </c>
      <c r="J481" s="1">
        <v>11296.666670000001</v>
      </c>
      <c r="K481" s="1">
        <v>0</v>
      </c>
      <c r="L481" s="1">
        <v>0</v>
      </c>
      <c r="M481" s="1" t="s">
        <v>43</v>
      </c>
      <c r="N481" s="1" t="s">
        <v>44</v>
      </c>
      <c r="O481" s="1" t="s">
        <v>44</v>
      </c>
      <c r="P481" s="2">
        <f t="shared" si="14"/>
        <v>0</v>
      </c>
      <c r="Q481" s="2">
        <f t="shared" si="15"/>
        <v>0</v>
      </c>
    </row>
    <row r="482" spans="1:17" ht="12.5" x14ac:dyDescent="0.25">
      <c r="A482" s="1" t="s">
        <v>70</v>
      </c>
      <c r="B482" s="1" t="s">
        <v>16</v>
      </c>
      <c r="C482" s="1" t="s">
        <v>46</v>
      </c>
      <c r="D482" s="1" t="s">
        <v>41</v>
      </c>
      <c r="E482" s="1">
        <v>65.83</v>
      </c>
      <c r="F482" s="1">
        <v>4</v>
      </c>
      <c r="G482" s="1">
        <v>12</v>
      </c>
      <c r="H482" s="1">
        <v>16.4575</v>
      </c>
      <c r="I482" s="1">
        <v>0.33333299999999999</v>
      </c>
      <c r="J482" s="1">
        <v>5485.8333329999996</v>
      </c>
      <c r="K482" s="1">
        <v>0</v>
      </c>
      <c r="L482" s="1">
        <v>0</v>
      </c>
      <c r="M482" s="1" t="s">
        <v>43</v>
      </c>
      <c r="N482" s="1" t="s">
        <v>44</v>
      </c>
      <c r="O482" s="1" t="s">
        <v>44</v>
      </c>
      <c r="P482" s="2">
        <f t="shared" si="14"/>
        <v>0</v>
      </c>
      <c r="Q482" s="2">
        <f t="shared" si="15"/>
        <v>0</v>
      </c>
    </row>
    <row r="483" spans="1:17" ht="12.5" x14ac:dyDescent="0.25">
      <c r="A483" s="1" t="s">
        <v>71</v>
      </c>
      <c r="B483" s="1" t="s">
        <v>16</v>
      </c>
      <c r="C483" s="1" t="s">
        <v>46</v>
      </c>
      <c r="D483" s="1" t="s">
        <v>41</v>
      </c>
      <c r="E483" s="1">
        <v>124.11</v>
      </c>
      <c r="F483" s="1">
        <v>7</v>
      </c>
      <c r="G483" s="1">
        <v>20</v>
      </c>
      <c r="H483" s="1">
        <v>17.73</v>
      </c>
      <c r="I483" s="1">
        <v>0.35</v>
      </c>
      <c r="J483" s="1">
        <v>6205.5</v>
      </c>
      <c r="K483" s="1">
        <v>0</v>
      </c>
      <c r="L483" s="1">
        <v>0</v>
      </c>
      <c r="M483" s="1" t="s">
        <v>43</v>
      </c>
      <c r="N483" s="1" t="s">
        <v>44</v>
      </c>
      <c r="O483" s="1" t="s">
        <v>44</v>
      </c>
      <c r="P483" s="2">
        <f t="shared" si="14"/>
        <v>0</v>
      </c>
      <c r="Q483" s="2">
        <f t="shared" si="15"/>
        <v>0</v>
      </c>
    </row>
    <row r="484" spans="1:17" ht="12.5" x14ac:dyDescent="0.25">
      <c r="A484" s="1" t="s">
        <v>72</v>
      </c>
      <c r="B484" s="1" t="s">
        <v>16</v>
      </c>
      <c r="C484" s="1" t="s">
        <v>46</v>
      </c>
      <c r="D484" s="1" t="s">
        <v>41</v>
      </c>
      <c r="E484" s="1">
        <v>559.80437900000004</v>
      </c>
      <c r="F484" s="1">
        <v>7</v>
      </c>
      <c r="G484" s="1">
        <v>15</v>
      </c>
      <c r="H484" s="1">
        <v>79.972054</v>
      </c>
      <c r="I484" s="1">
        <v>0.466667</v>
      </c>
      <c r="J484" s="1">
        <v>37320.291929999999</v>
      </c>
      <c r="K484" s="1">
        <v>0</v>
      </c>
      <c r="L484" s="1">
        <v>0</v>
      </c>
      <c r="M484" s="1" t="s">
        <v>43</v>
      </c>
      <c r="N484" s="1" t="s">
        <v>44</v>
      </c>
      <c r="O484" s="1" t="s">
        <v>44</v>
      </c>
      <c r="P484" s="2">
        <f t="shared" si="14"/>
        <v>0</v>
      </c>
      <c r="Q484" s="2">
        <f t="shared" si="15"/>
        <v>0</v>
      </c>
    </row>
    <row r="485" spans="1:17" ht="12.5" x14ac:dyDescent="0.25">
      <c r="A485" s="1" t="s">
        <v>73</v>
      </c>
      <c r="B485" s="1" t="s">
        <v>16</v>
      </c>
      <c r="C485" s="1" t="s">
        <v>46</v>
      </c>
      <c r="D485" s="1" t="s">
        <v>41</v>
      </c>
      <c r="E485" s="1">
        <v>212.015657</v>
      </c>
      <c r="F485" s="1">
        <v>8</v>
      </c>
      <c r="G485" s="1">
        <v>39</v>
      </c>
      <c r="H485" s="1">
        <v>26.501957000000001</v>
      </c>
      <c r="I485" s="1">
        <v>0.205128</v>
      </c>
      <c r="J485" s="1">
        <v>5436.2988969999997</v>
      </c>
      <c r="K485" s="1">
        <v>1</v>
      </c>
      <c r="L485" s="1">
        <v>25080</v>
      </c>
      <c r="M485" s="1" t="s">
        <v>43</v>
      </c>
      <c r="N485" s="1" t="s">
        <v>44</v>
      </c>
      <c r="O485" s="1" t="s">
        <v>44</v>
      </c>
      <c r="P485" s="2">
        <f t="shared" si="14"/>
        <v>3.9872408293460924E-5</v>
      </c>
      <c r="Q485" s="2">
        <f t="shared" si="15"/>
        <v>212.015657</v>
      </c>
    </row>
    <row r="486" spans="1:17" ht="12.5" x14ac:dyDescent="0.25">
      <c r="A486" s="1" t="s">
        <v>74</v>
      </c>
      <c r="B486" s="1" t="s">
        <v>16</v>
      </c>
      <c r="C486" s="1" t="s">
        <v>46</v>
      </c>
      <c r="D486" s="1" t="s">
        <v>41</v>
      </c>
      <c r="E486" s="1">
        <v>228.96</v>
      </c>
      <c r="F486" s="1">
        <v>6</v>
      </c>
      <c r="G486" s="1">
        <v>17</v>
      </c>
      <c r="H486" s="1">
        <v>38.159999999999997</v>
      </c>
      <c r="I486" s="1">
        <v>0.352941</v>
      </c>
      <c r="J486" s="1">
        <v>13468.235290000001</v>
      </c>
      <c r="K486" s="1">
        <v>0</v>
      </c>
      <c r="L486" s="1">
        <v>0</v>
      </c>
      <c r="M486" s="1" t="s">
        <v>43</v>
      </c>
      <c r="N486" s="1" t="s">
        <v>44</v>
      </c>
      <c r="O486" s="1" t="s">
        <v>44</v>
      </c>
      <c r="P486" s="2">
        <f t="shared" si="14"/>
        <v>0</v>
      </c>
      <c r="Q486" s="2">
        <f t="shared" si="15"/>
        <v>0</v>
      </c>
    </row>
    <row r="487" spans="1:17" ht="12.5" x14ac:dyDescent="0.25">
      <c r="A487" s="1" t="s">
        <v>75</v>
      </c>
      <c r="B487" s="1" t="s">
        <v>16</v>
      </c>
      <c r="C487" s="1" t="s">
        <v>46</v>
      </c>
      <c r="D487" s="1" t="s">
        <v>41</v>
      </c>
      <c r="E487" s="1">
        <v>16.3</v>
      </c>
      <c r="F487" s="1">
        <v>9</v>
      </c>
      <c r="G487" s="1">
        <v>22</v>
      </c>
      <c r="H487" s="1">
        <v>1.8111109999999999</v>
      </c>
      <c r="I487" s="1">
        <v>0.40909099999999998</v>
      </c>
      <c r="J487" s="1">
        <v>740.90909099999999</v>
      </c>
      <c r="K487" s="1">
        <v>0</v>
      </c>
      <c r="L487" s="1">
        <v>0</v>
      </c>
      <c r="M487" s="1" t="s">
        <v>43</v>
      </c>
      <c r="N487" s="1" t="s">
        <v>44</v>
      </c>
      <c r="O487" s="1" t="s">
        <v>44</v>
      </c>
      <c r="P487" s="2">
        <f t="shared" si="14"/>
        <v>0</v>
      </c>
      <c r="Q487" s="2">
        <f t="shared" si="15"/>
        <v>0</v>
      </c>
    </row>
    <row r="488" spans="1:17" ht="12.5" x14ac:dyDescent="0.25">
      <c r="A488" s="1" t="s">
        <v>76</v>
      </c>
      <c r="B488" s="1" t="s">
        <v>16</v>
      </c>
      <c r="C488" s="1" t="s">
        <v>46</v>
      </c>
      <c r="D488" s="1" t="s">
        <v>41</v>
      </c>
      <c r="E488" s="1">
        <v>53.59</v>
      </c>
      <c r="F488" s="1">
        <v>2</v>
      </c>
      <c r="G488" s="1">
        <v>4</v>
      </c>
      <c r="H488" s="1">
        <v>26.795000000000002</v>
      </c>
      <c r="I488" s="1">
        <v>0.5</v>
      </c>
      <c r="J488" s="1">
        <v>13397.5</v>
      </c>
      <c r="K488" s="1">
        <v>0</v>
      </c>
      <c r="L488" s="1">
        <v>0</v>
      </c>
      <c r="M488" s="1" t="s">
        <v>43</v>
      </c>
      <c r="N488" s="1" t="s">
        <v>44</v>
      </c>
      <c r="O488" s="1" t="s">
        <v>44</v>
      </c>
      <c r="P488" s="2">
        <f t="shared" si="14"/>
        <v>0</v>
      </c>
      <c r="Q488" s="2">
        <f t="shared" si="15"/>
        <v>0</v>
      </c>
    </row>
    <row r="489" spans="1:17" ht="12.5" x14ac:dyDescent="0.25">
      <c r="A489" s="1" t="s">
        <v>84</v>
      </c>
      <c r="B489" s="1" t="s">
        <v>16</v>
      </c>
      <c r="C489" s="1" t="s">
        <v>46</v>
      </c>
      <c r="D489" s="1" t="s">
        <v>41</v>
      </c>
      <c r="E489" s="1">
        <v>618.41999999999996</v>
      </c>
      <c r="F489" s="1">
        <v>7</v>
      </c>
      <c r="G489" s="1">
        <v>18</v>
      </c>
      <c r="H489" s="1">
        <v>88.345714000000001</v>
      </c>
      <c r="I489" s="1">
        <v>0.38888899999999998</v>
      </c>
      <c r="J489" s="1">
        <v>34356.666669999999</v>
      </c>
      <c r="K489" s="1">
        <v>0</v>
      </c>
      <c r="L489" s="1">
        <v>0</v>
      </c>
      <c r="M489" s="1" t="s">
        <v>43</v>
      </c>
      <c r="N489" s="1" t="s">
        <v>44</v>
      </c>
      <c r="O489" s="1" t="s">
        <v>44</v>
      </c>
      <c r="P489" s="2">
        <f t="shared" si="14"/>
        <v>0</v>
      </c>
      <c r="Q489" s="2">
        <f t="shared" si="15"/>
        <v>0</v>
      </c>
    </row>
    <row r="490" spans="1:17" ht="12.5" x14ac:dyDescent="0.25">
      <c r="A490" s="1" t="s">
        <v>77</v>
      </c>
      <c r="B490" s="1" t="s">
        <v>16</v>
      </c>
      <c r="C490" s="1" t="s">
        <v>46</v>
      </c>
      <c r="D490" s="1" t="s">
        <v>41</v>
      </c>
      <c r="E490" s="1">
        <v>471.87</v>
      </c>
      <c r="F490" s="1">
        <v>2</v>
      </c>
      <c r="G490" s="1">
        <v>9</v>
      </c>
      <c r="H490" s="1">
        <v>235.935</v>
      </c>
      <c r="I490" s="1">
        <v>0.222222</v>
      </c>
      <c r="J490" s="1">
        <v>52430</v>
      </c>
      <c r="K490" s="1">
        <v>0</v>
      </c>
      <c r="L490" s="1">
        <v>0</v>
      </c>
      <c r="M490" s="1" t="s">
        <v>43</v>
      </c>
      <c r="N490" s="1" t="s">
        <v>44</v>
      </c>
      <c r="O490" s="1" t="s">
        <v>44</v>
      </c>
      <c r="P490" s="2">
        <f t="shared" si="14"/>
        <v>0</v>
      </c>
      <c r="Q490" s="2">
        <f t="shared" si="15"/>
        <v>0</v>
      </c>
    </row>
    <row r="491" spans="1:17" ht="12.5" x14ac:dyDescent="0.25">
      <c r="A491" s="1" t="s">
        <v>78</v>
      </c>
      <c r="B491" s="1" t="s">
        <v>16</v>
      </c>
      <c r="C491" s="1" t="s">
        <v>46</v>
      </c>
      <c r="D491" s="1" t="s">
        <v>41</v>
      </c>
      <c r="E491" s="1">
        <v>180.13391200000001</v>
      </c>
      <c r="F491" s="1">
        <v>6</v>
      </c>
      <c r="G491" s="1">
        <v>16</v>
      </c>
      <c r="H491" s="1">
        <v>30.022319</v>
      </c>
      <c r="I491" s="1">
        <v>0.375</v>
      </c>
      <c r="J491" s="1">
        <v>11258.369500000001</v>
      </c>
      <c r="K491" s="1">
        <v>0</v>
      </c>
      <c r="L491" s="1">
        <v>0</v>
      </c>
      <c r="M491" s="1" t="s">
        <v>43</v>
      </c>
      <c r="N491" s="1" t="s">
        <v>44</v>
      </c>
      <c r="O491" s="1" t="s">
        <v>44</v>
      </c>
      <c r="P491" s="2">
        <f t="shared" si="14"/>
        <v>0</v>
      </c>
      <c r="Q491" s="2">
        <f t="shared" si="15"/>
        <v>0</v>
      </c>
    </row>
    <row r="492" spans="1:17" ht="12.5" x14ac:dyDescent="0.25">
      <c r="A492" s="1" t="s">
        <v>79</v>
      </c>
      <c r="B492" s="1" t="s">
        <v>16</v>
      </c>
      <c r="C492" s="1" t="s">
        <v>46</v>
      </c>
      <c r="D492" s="1" t="s">
        <v>41</v>
      </c>
      <c r="E492" s="1">
        <v>471.87</v>
      </c>
      <c r="F492" s="1">
        <v>7</v>
      </c>
      <c r="G492" s="1">
        <v>28</v>
      </c>
      <c r="H492" s="1">
        <v>67.41</v>
      </c>
      <c r="I492" s="1">
        <v>0.25</v>
      </c>
      <c r="J492" s="1">
        <v>16852.5</v>
      </c>
      <c r="K492" s="1">
        <v>1</v>
      </c>
      <c r="L492" s="1">
        <v>21500</v>
      </c>
      <c r="M492" s="1" t="s">
        <v>43</v>
      </c>
      <c r="N492" s="1" t="s">
        <v>44</v>
      </c>
      <c r="O492" s="1" t="s">
        <v>44</v>
      </c>
      <c r="P492" s="2">
        <f t="shared" si="14"/>
        <v>4.6511627906976741E-5</v>
      </c>
      <c r="Q492" s="2">
        <f t="shared" si="15"/>
        <v>471.87</v>
      </c>
    </row>
    <row r="493" spans="1:17" ht="12.5" x14ac:dyDescent="0.25">
      <c r="A493" s="1" t="s">
        <v>80</v>
      </c>
      <c r="B493" s="1" t="s">
        <v>16</v>
      </c>
      <c r="C493" s="1" t="s">
        <v>46</v>
      </c>
      <c r="D493" s="1" t="s">
        <v>41</v>
      </c>
      <c r="E493" s="1">
        <v>196.22</v>
      </c>
      <c r="F493" s="1">
        <v>4</v>
      </c>
      <c r="G493" s="1">
        <v>19</v>
      </c>
      <c r="H493" s="1">
        <v>49.055</v>
      </c>
      <c r="I493" s="1">
        <v>0.21052599999999999</v>
      </c>
      <c r="J493" s="1">
        <v>10327.368420000001</v>
      </c>
      <c r="K493" s="1">
        <v>0</v>
      </c>
      <c r="L493" s="1">
        <v>0</v>
      </c>
      <c r="M493" s="1" t="s">
        <v>43</v>
      </c>
      <c r="N493" s="1" t="s">
        <v>44</v>
      </c>
      <c r="O493" s="1" t="s">
        <v>44</v>
      </c>
      <c r="P493" s="2">
        <f t="shared" si="14"/>
        <v>0</v>
      </c>
      <c r="Q493" s="2">
        <f t="shared" si="15"/>
        <v>0</v>
      </c>
    </row>
    <row r="494" spans="1:17" ht="12.5" x14ac:dyDescent="0.25">
      <c r="A494" s="1" t="s">
        <v>81</v>
      </c>
      <c r="B494" s="1" t="s">
        <v>16</v>
      </c>
      <c r="C494" s="1" t="s">
        <v>46</v>
      </c>
      <c r="D494" s="1" t="s">
        <v>41</v>
      </c>
      <c r="E494" s="1">
        <v>350.44</v>
      </c>
      <c r="F494" s="1">
        <v>5</v>
      </c>
      <c r="G494" s="1">
        <v>7</v>
      </c>
      <c r="H494" s="1">
        <v>70.087999999999994</v>
      </c>
      <c r="I494" s="1">
        <v>0.71428599999999998</v>
      </c>
      <c r="J494" s="1">
        <v>50062.85714</v>
      </c>
      <c r="K494" s="1">
        <v>0</v>
      </c>
      <c r="L494" s="1">
        <v>0</v>
      </c>
      <c r="M494" s="1" t="s">
        <v>43</v>
      </c>
      <c r="N494" s="1" t="s">
        <v>44</v>
      </c>
      <c r="O494" s="1" t="s">
        <v>44</v>
      </c>
      <c r="P494" s="2">
        <f t="shared" si="14"/>
        <v>0</v>
      </c>
      <c r="Q494" s="2">
        <f t="shared" si="15"/>
        <v>0</v>
      </c>
    </row>
    <row r="495" spans="1:17" ht="12.5" x14ac:dyDescent="0.25">
      <c r="A495" s="1" t="s">
        <v>82</v>
      </c>
      <c r="B495" s="1" t="s">
        <v>16</v>
      </c>
      <c r="C495" s="1" t="s">
        <v>46</v>
      </c>
      <c r="D495" s="1" t="s">
        <v>41</v>
      </c>
      <c r="E495" s="1">
        <v>539.12</v>
      </c>
      <c r="F495" s="1">
        <v>6</v>
      </c>
      <c r="G495" s="1">
        <v>13</v>
      </c>
      <c r="H495" s="1">
        <v>89.853333000000006</v>
      </c>
      <c r="I495" s="1">
        <v>0.461538</v>
      </c>
      <c r="J495" s="1">
        <v>41470.769229999998</v>
      </c>
      <c r="K495" s="1">
        <v>0</v>
      </c>
      <c r="L495" s="1">
        <v>0</v>
      </c>
      <c r="M495" s="1" t="s">
        <v>43</v>
      </c>
      <c r="N495" s="1" t="s">
        <v>44</v>
      </c>
      <c r="O495" s="1" t="s">
        <v>44</v>
      </c>
      <c r="P495" s="2">
        <f t="shared" si="14"/>
        <v>0</v>
      </c>
      <c r="Q495" s="2">
        <f t="shared" si="15"/>
        <v>0</v>
      </c>
    </row>
    <row r="496" spans="1:17" ht="12.5" x14ac:dyDescent="0.25">
      <c r="A496" s="1" t="s">
        <v>83</v>
      </c>
      <c r="B496" s="1" t="s">
        <v>16</v>
      </c>
      <c r="C496" s="1" t="s">
        <v>46</v>
      </c>
      <c r="D496" s="1" t="s">
        <v>41</v>
      </c>
      <c r="E496" s="1">
        <v>99.23</v>
      </c>
      <c r="F496" s="1">
        <v>2</v>
      </c>
      <c r="G496" s="1">
        <v>4</v>
      </c>
      <c r="H496" s="1">
        <v>49.615000000000002</v>
      </c>
      <c r="I496" s="1">
        <v>0.5</v>
      </c>
      <c r="J496" s="1">
        <v>24807.5</v>
      </c>
      <c r="K496" s="1">
        <v>0</v>
      </c>
      <c r="L496" s="1">
        <v>0</v>
      </c>
      <c r="M496" s="1" t="s">
        <v>43</v>
      </c>
      <c r="N496" s="1" t="s">
        <v>44</v>
      </c>
      <c r="O496" s="1" t="s">
        <v>44</v>
      </c>
      <c r="P496" s="2">
        <f t="shared" si="14"/>
        <v>0</v>
      </c>
      <c r="Q496" s="2">
        <f t="shared" si="15"/>
        <v>0</v>
      </c>
    </row>
    <row r="497" spans="1:17" ht="12.5" x14ac:dyDescent="0.25">
      <c r="A497" s="3">
        <v>46150</v>
      </c>
      <c r="B497" s="1" t="s">
        <v>16</v>
      </c>
      <c r="C497" s="1" t="s">
        <v>56</v>
      </c>
      <c r="D497" s="1" t="s">
        <v>41</v>
      </c>
      <c r="E497" s="1">
        <v>1.2409E-2</v>
      </c>
      <c r="F497" s="1">
        <v>2</v>
      </c>
      <c r="G497" s="1">
        <v>238</v>
      </c>
      <c r="H497" s="1">
        <v>6.2049999999999996E-3</v>
      </c>
      <c r="I497" s="1">
        <v>8.4030000000000007E-3</v>
      </c>
      <c r="J497" s="1">
        <v>5.2138999999999998E-2</v>
      </c>
      <c r="K497" s="1">
        <v>0</v>
      </c>
      <c r="L497" s="1">
        <v>0</v>
      </c>
      <c r="M497" s="1" t="s">
        <v>43</v>
      </c>
      <c r="N497" s="1" t="s">
        <v>44</v>
      </c>
      <c r="O497" s="1" t="s">
        <v>44</v>
      </c>
      <c r="P497" s="2">
        <f t="shared" si="14"/>
        <v>0</v>
      </c>
      <c r="Q497" s="2">
        <f t="shared" si="15"/>
        <v>0</v>
      </c>
    </row>
    <row r="498" spans="1:17" ht="12.5" x14ac:dyDescent="0.25">
      <c r="A498" s="3">
        <v>46181</v>
      </c>
      <c r="B498" s="1" t="s">
        <v>16</v>
      </c>
      <c r="C498" s="1" t="s">
        <v>56</v>
      </c>
      <c r="D498" s="1" t="s">
        <v>41</v>
      </c>
      <c r="E498" s="1">
        <v>214.04703599999999</v>
      </c>
      <c r="F498" s="1">
        <v>8</v>
      </c>
      <c r="G498" s="1">
        <v>784</v>
      </c>
      <c r="H498" s="1">
        <v>26.755880000000001</v>
      </c>
      <c r="I498" s="1">
        <v>1.0204E-2</v>
      </c>
      <c r="J498" s="1">
        <v>273.01917900000001</v>
      </c>
      <c r="K498" s="1">
        <v>0</v>
      </c>
      <c r="L498" s="1">
        <v>0</v>
      </c>
      <c r="M498" s="1" t="s">
        <v>43</v>
      </c>
      <c r="N498" s="1" t="s">
        <v>44</v>
      </c>
      <c r="O498" s="1" t="s">
        <v>44</v>
      </c>
      <c r="P498" s="2">
        <f t="shared" si="14"/>
        <v>0</v>
      </c>
      <c r="Q498" s="2">
        <f t="shared" si="15"/>
        <v>0</v>
      </c>
    </row>
    <row r="499" spans="1:17" ht="12.5" x14ac:dyDescent="0.25">
      <c r="A499" s="3">
        <v>46211</v>
      </c>
      <c r="B499" s="1" t="s">
        <v>16</v>
      </c>
      <c r="C499" s="1" t="s">
        <v>56</v>
      </c>
      <c r="D499" s="1" t="s">
        <v>41</v>
      </c>
      <c r="E499" s="1">
        <v>519.35089700000003</v>
      </c>
      <c r="F499" s="1">
        <v>16</v>
      </c>
      <c r="G499" s="1">
        <v>619</v>
      </c>
      <c r="H499" s="1">
        <v>32.459431000000002</v>
      </c>
      <c r="I499" s="1">
        <v>2.5847999999999999E-2</v>
      </c>
      <c r="J499" s="1">
        <v>839.01598899999999</v>
      </c>
      <c r="K499" s="1">
        <v>0</v>
      </c>
      <c r="L499" s="1">
        <v>0</v>
      </c>
      <c r="M499" s="1" t="s">
        <v>43</v>
      </c>
      <c r="N499" s="1" t="s">
        <v>44</v>
      </c>
      <c r="O499" s="1" t="s">
        <v>44</v>
      </c>
      <c r="P499" s="2">
        <f t="shared" si="14"/>
        <v>0</v>
      </c>
      <c r="Q499" s="2">
        <f t="shared" si="15"/>
        <v>0</v>
      </c>
    </row>
    <row r="500" spans="1:17" ht="12.5" x14ac:dyDescent="0.25">
      <c r="A500" s="3">
        <v>46242</v>
      </c>
      <c r="B500" s="1" t="s">
        <v>16</v>
      </c>
      <c r="C500" s="1" t="s">
        <v>56</v>
      </c>
      <c r="D500" s="1" t="s">
        <v>41</v>
      </c>
      <c r="E500" s="1">
        <v>103.332358</v>
      </c>
      <c r="F500" s="1">
        <v>8</v>
      </c>
      <c r="G500" s="1">
        <v>823</v>
      </c>
      <c r="H500" s="1">
        <v>12.916544999999999</v>
      </c>
      <c r="I500" s="1">
        <v>9.7210000000000005E-3</v>
      </c>
      <c r="J500" s="1">
        <v>125.55572100000001</v>
      </c>
      <c r="K500" s="1">
        <v>0</v>
      </c>
      <c r="L500" s="1">
        <v>0</v>
      </c>
      <c r="M500" s="1" t="s">
        <v>43</v>
      </c>
      <c r="N500" s="1" t="s">
        <v>44</v>
      </c>
      <c r="O500" s="1" t="s">
        <v>44</v>
      </c>
      <c r="P500" s="2">
        <f t="shared" si="14"/>
        <v>0</v>
      </c>
      <c r="Q500" s="2">
        <f t="shared" si="15"/>
        <v>0</v>
      </c>
    </row>
    <row r="501" spans="1:17" ht="12.5" x14ac:dyDescent="0.25">
      <c r="A501" s="3">
        <v>46273</v>
      </c>
      <c r="B501" s="1" t="s">
        <v>16</v>
      </c>
      <c r="C501" s="1" t="s">
        <v>56</v>
      </c>
      <c r="D501" s="1" t="s">
        <v>41</v>
      </c>
      <c r="E501" s="1">
        <v>447.71</v>
      </c>
      <c r="F501" s="1">
        <v>13</v>
      </c>
      <c r="G501" s="1">
        <v>785</v>
      </c>
      <c r="H501" s="1">
        <v>34.439230999999999</v>
      </c>
      <c r="I501" s="1">
        <v>1.6560999999999999E-2</v>
      </c>
      <c r="J501" s="1">
        <v>570.33121000000006</v>
      </c>
      <c r="K501" s="1">
        <v>0</v>
      </c>
      <c r="L501" s="1">
        <v>0</v>
      </c>
      <c r="M501" s="1" t="s">
        <v>43</v>
      </c>
      <c r="N501" s="1" t="s">
        <v>44</v>
      </c>
      <c r="O501" s="1" t="s">
        <v>44</v>
      </c>
      <c r="P501" s="2">
        <f t="shared" si="14"/>
        <v>0</v>
      </c>
      <c r="Q501" s="2">
        <f t="shared" si="15"/>
        <v>0</v>
      </c>
    </row>
    <row r="502" spans="1:17" ht="12.5" x14ac:dyDescent="0.25">
      <c r="A502" s="3">
        <v>46303</v>
      </c>
      <c r="B502" s="1" t="s">
        <v>16</v>
      </c>
      <c r="C502" s="1" t="s">
        <v>56</v>
      </c>
      <c r="D502" s="1" t="s">
        <v>41</v>
      </c>
      <c r="E502" s="1">
        <v>583.80999999999995</v>
      </c>
      <c r="F502" s="1">
        <v>24</v>
      </c>
      <c r="G502" s="1">
        <v>1367</v>
      </c>
      <c r="H502" s="1">
        <v>24.325417000000002</v>
      </c>
      <c r="I502" s="1">
        <v>1.7557E-2</v>
      </c>
      <c r="J502" s="1">
        <v>427.07388400000002</v>
      </c>
      <c r="K502" s="1">
        <v>0</v>
      </c>
      <c r="L502" s="1">
        <v>0</v>
      </c>
      <c r="M502" s="1" t="s">
        <v>43</v>
      </c>
      <c r="N502" s="1" t="s">
        <v>44</v>
      </c>
      <c r="O502" s="1" t="s">
        <v>44</v>
      </c>
      <c r="P502" s="2">
        <f t="shared" si="14"/>
        <v>0</v>
      </c>
      <c r="Q502" s="2">
        <f t="shared" si="15"/>
        <v>0</v>
      </c>
    </row>
    <row r="503" spans="1:17" ht="12.5" x14ac:dyDescent="0.25">
      <c r="A503" s="3">
        <v>46334</v>
      </c>
      <c r="B503" s="1" t="s">
        <v>16</v>
      </c>
      <c r="C503" s="1" t="s">
        <v>56</v>
      </c>
      <c r="D503" s="1" t="s">
        <v>41</v>
      </c>
      <c r="E503" s="1">
        <v>929.88</v>
      </c>
      <c r="F503" s="1">
        <v>21</v>
      </c>
      <c r="G503" s="1">
        <v>1287</v>
      </c>
      <c r="H503" s="1">
        <v>44.28</v>
      </c>
      <c r="I503" s="1">
        <v>1.6317000000000002E-2</v>
      </c>
      <c r="J503" s="1">
        <v>722.51748299999997</v>
      </c>
      <c r="K503" s="1">
        <v>0</v>
      </c>
      <c r="L503" s="1">
        <v>0</v>
      </c>
      <c r="M503" s="1" t="s">
        <v>43</v>
      </c>
      <c r="N503" s="1" t="s">
        <v>44</v>
      </c>
      <c r="O503" s="1" t="s">
        <v>44</v>
      </c>
      <c r="P503" s="2">
        <f t="shared" si="14"/>
        <v>0</v>
      </c>
      <c r="Q503" s="2">
        <f t="shared" si="15"/>
        <v>0</v>
      </c>
    </row>
    <row r="504" spans="1:17" ht="12.5" x14ac:dyDescent="0.25">
      <c r="A504" s="3">
        <v>46364</v>
      </c>
      <c r="B504" s="1" t="s">
        <v>16</v>
      </c>
      <c r="C504" s="1" t="s">
        <v>56</v>
      </c>
      <c r="D504" s="1" t="s">
        <v>41</v>
      </c>
      <c r="E504" s="1">
        <v>160.57</v>
      </c>
      <c r="F504" s="1">
        <v>5</v>
      </c>
      <c r="G504" s="1">
        <v>446</v>
      </c>
      <c r="H504" s="1">
        <v>32.113999999999997</v>
      </c>
      <c r="I504" s="1">
        <v>1.1211E-2</v>
      </c>
      <c r="J504" s="1">
        <v>360.02242200000001</v>
      </c>
      <c r="K504" s="1">
        <v>0</v>
      </c>
      <c r="L504" s="1">
        <v>0</v>
      </c>
      <c r="M504" s="1" t="s">
        <v>43</v>
      </c>
      <c r="N504" s="1" t="s">
        <v>44</v>
      </c>
      <c r="O504" s="1" t="s">
        <v>44</v>
      </c>
      <c r="P504" s="2">
        <f t="shared" si="14"/>
        <v>0</v>
      </c>
      <c r="Q504" s="2">
        <f t="shared" si="15"/>
        <v>0</v>
      </c>
    </row>
    <row r="505" spans="1:17" ht="12.5" x14ac:dyDescent="0.25">
      <c r="A505" s="1" t="s">
        <v>70</v>
      </c>
      <c r="B505" s="1" t="s">
        <v>16</v>
      </c>
      <c r="C505" s="1" t="s">
        <v>56</v>
      </c>
      <c r="D505" s="1" t="s">
        <v>41</v>
      </c>
      <c r="E505" s="1">
        <v>226.45</v>
      </c>
      <c r="F505" s="1">
        <v>1</v>
      </c>
      <c r="G505" s="1">
        <v>111</v>
      </c>
      <c r="H505" s="1">
        <v>226.45</v>
      </c>
      <c r="I505" s="1">
        <v>9.0089999999999996E-3</v>
      </c>
      <c r="J505" s="1">
        <v>2040.0900899999999</v>
      </c>
      <c r="K505" s="1">
        <v>0</v>
      </c>
      <c r="L505" s="1">
        <v>0</v>
      </c>
      <c r="M505" s="1" t="s">
        <v>43</v>
      </c>
      <c r="N505" s="1" t="s">
        <v>44</v>
      </c>
      <c r="O505" s="1" t="s">
        <v>44</v>
      </c>
      <c r="P505" s="2">
        <f t="shared" si="14"/>
        <v>0</v>
      </c>
      <c r="Q505" s="2">
        <f t="shared" si="15"/>
        <v>0</v>
      </c>
    </row>
    <row r="506" spans="1:17" ht="12.5" x14ac:dyDescent="0.25">
      <c r="A506" s="1" t="s">
        <v>71</v>
      </c>
      <c r="B506" s="1" t="s">
        <v>16</v>
      </c>
      <c r="C506" s="1" t="s">
        <v>56</v>
      </c>
      <c r="D506" s="1" t="s">
        <v>41</v>
      </c>
      <c r="E506" s="1">
        <v>746.65</v>
      </c>
      <c r="F506" s="1">
        <v>14</v>
      </c>
      <c r="G506" s="1">
        <v>469</v>
      </c>
      <c r="H506" s="1">
        <v>53.332143000000002</v>
      </c>
      <c r="I506" s="1">
        <v>2.9850999999999999E-2</v>
      </c>
      <c r="J506" s="1">
        <v>1592.0042639999999</v>
      </c>
      <c r="K506" s="1">
        <v>0</v>
      </c>
      <c r="L506" s="1">
        <v>0</v>
      </c>
      <c r="M506" s="1" t="s">
        <v>43</v>
      </c>
      <c r="N506" s="1" t="s">
        <v>44</v>
      </c>
      <c r="O506" s="1" t="s">
        <v>44</v>
      </c>
      <c r="P506" s="2">
        <f t="shared" si="14"/>
        <v>0</v>
      </c>
      <c r="Q506" s="2">
        <f t="shared" si="15"/>
        <v>0</v>
      </c>
    </row>
    <row r="507" spans="1:17" ht="12.5" x14ac:dyDescent="0.25">
      <c r="A507" s="1" t="s">
        <v>72</v>
      </c>
      <c r="B507" s="1" t="s">
        <v>16</v>
      </c>
      <c r="C507" s="1" t="s">
        <v>56</v>
      </c>
      <c r="D507" s="1" t="s">
        <v>41</v>
      </c>
      <c r="E507" s="1">
        <v>37.460794999999997</v>
      </c>
      <c r="F507" s="1">
        <v>4</v>
      </c>
      <c r="G507" s="1">
        <v>283</v>
      </c>
      <c r="H507" s="1">
        <v>9.3651990000000005</v>
      </c>
      <c r="I507" s="1">
        <v>1.4134000000000001E-2</v>
      </c>
      <c r="J507" s="1">
        <v>132.37029999999999</v>
      </c>
      <c r="K507" s="1">
        <v>0</v>
      </c>
      <c r="L507" s="1">
        <v>0</v>
      </c>
      <c r="M507" s="1" t="s">
        <v>43</v>
      </c>
      <c r="N507" s="1" t="s">
        <v>44</v>
      </c>
      <c r="O507" s="1" t="s">
        <v>44</v>
      </c>
      <c r="P507" s="2">
        <f t="shared" si="14"/>
        <v>0</v>
      </c>
      <c r="Q507" s="2">
        <f t="shared" si="15"/>
        <v>0</v>
      </c>
    </row>
    <row r="508" spans="1:17" ht="12.5" x14ac:dyDescent="0.25">
      <c r="A508" s="1" t="s">
        <v>73</v>
      </c>
      <c r="B508" s="1" t="s">
        <v>16</v>
      </c>
      <c r="C508" s="1" t="s">
        <v>56</v>
      </c>
      <c r="D508" s="1" t="s">
        <v>41</v>
      </c>
      <c r="E508" s="1">
        <v>14.05</v>
      </c>
      <c r="F508" s="1">
        <v>3</v>
      </c>
      <c r="G508" s="1">
        <v>341</v>
      </c>
      <c r="H508" s="1">
        <v>4.6833330000000002</v>
      </c>
      <c r="I508" s="1">
        <v>8.7980000000000003E-3</v>
      </c>
      <c r="J508" s="1">
        <v>41.202345999999999</v>
      </c>
      <c r="K508" s="1">
        <v>0</v>
      </c>
      <c r="L508" s="1">
        <v>0</v>
      </c>
      <c r="M508" s="1" t="s">
        <v>43</v>
      </c>
      <c r="N508" s="1" t="s">
        <v>44</v>
      </c>
      <c r="O508" s="1" t="s">
        <v>44</v>
      </c>
      <c r="P508" s="2">
        <f t="shared" si="14"/>
        <v>0</v>
      </c>
      <c r="Q508" s="2">
        <f t="shared" si="15"/>
        <v>0</v>
      </c>
    </row>
    <row r="509" spans="1:17" ht="12.5" x14ac:dyDescent="0.25">
      <c r="A509" s="1" t="s">
        <v>74</v>
      </c>
      <c r="B509" s="1" t="s">
        <v>16</v>
      </c>
      <c r="C509" s="1" t="s">
        <v>56</v>
      </c>
      <c r="D509" s="1" t="s">
        <v>41</v>
      </c>
      <c r="E509" s="1">
        <v>41.508256000000003</v>
      </c>
      <c r="F509" s="1">
        <v>1</v>
      </c>
      <c r="G509" s="1">
        <v>358</v>
      </c>
      <c r="H509" s="1">
        <v>41.508256000000003</v>
      </c>
      <c r="I509" s="1">
        <v>2.7929999999999999E-3</v>
      </c>
      <c r="J509" s="1">
        <v>115.944849</v>
      </c>
      <c r="K509" s="1">
        <v>0</v>
      </c>
      <c r="L509" s="1">
        <v>0</v>
      </c>
      <c r="M509" s="1" t="s">
        <v>43</v>
      </c>
      <c r="N509" s="1" t="s">
        <v>44</v>
      </c>
      <c r="O509" s="1" t="s">
        <v>44</v>
      </c>
      <c r="P509" s="2">
        <f t="shared" si="14"/>
        <v>0</v>
      </c>
      <c r="Q509" s="2">
        <f t="shared" si="15"/>
        <v>0</v>
      </c>
    </row>
    <row r="510" spans="1:17" ht="12.5" x14ac:dyDescent="0.25">
      <c r="A510" s="1" t="s">
        <v>75</v>
      </c>
      <c r="B510" s="1" t="s">
        <v>16</v>
      </c>
      <c r="C510" s="1" t="s">
        <v>56</v>
      </c>
      <c r="D510" s="1" t="s">
        <v>41</v>
      </c>
      <c r="E510" s="1">
        <v>106.79931000000001</v>
      </c>
      <c r="F510" s="1">
        <v>10</v>
      </c>
      <c r="G510" s="1">
        <v>764</v>
      </c>
      <c r="H510" s="1">
        <v>10.679931</v>
      </c>
      <c r="I510" s="1">
        <v>1.3089E-2</v>
      </c>
      <c r="J510" s="1">
        <v>139.78967299999999</v>
      </c>
      <c r="K510" s="1">
        <v>0</v>
      </c>
      <c r="L510" s="1">
        <v>0</v>
      </c>
      <c r="M510" s="1" t="s">
        <v>43</v>
      </c>
      <c r="N510" s="1" t="s">
        <v>44</v>
      </c>
      <c r="O510" s="1" t="s">
        <v>44</v>
      </c>
      <c r="P510" s="2">
        <f t="shared" si="14"/>
        <v>0</v>
      </c>
      <c r="Q510" s="2">
        <f t="shared" si="15"/>
        <v>0</v>
      </c>
    </row>
    <row r="511" spans="1:17" ht="12.5" x14ac:dyDescent="0.25">
      <c r="A511" s="1" t="s">
        <v>76</v>
      </c>
      <c r="B511" s="1" t="s">
        <v>16</v>
      </c>
      <c r="C511" s="1" t="s">
        <v>56</v>
      </c>
      <c r="D511" s="1" t="s">
        <v>41</v>
      </c>
      <c r="E511" s="1">
        <v>1421.281152</v>
      </c>
      <c r="F511" s="1">
        <v>31</v>
      </c>
      <c r="G511" s="1">
        <v>2027</v>
      </c>
      <c r="H511" s="1">
        <v>45.847779000000003</v>
      </c>
      <c r="I511" s="1">
        <v>1.5294E-2</v>
      </c>
      <c r="J511" s="1">
        <v>701.17471699999999</v>
      </c>
      <c r="K511" s="1">
        <v>0</v>
      </c>
      <c r="L511" s="1">
        <v>0</v>
      </c>
      <c r="M511" s="1" t="s">
        <v>43</v>
      </c>
      <c r="N511" s="1" t="s">
        <v>44</v>
      </c>
      <c r="O511" s="1" t="s">
        <v>44</v>
      </c>
      <c r="P511" s="2">
        <f t="shared" si="14"/>
        <v>0</v>
      </c>
      <c r="Q511" s="2">
        <f t="shared" si="15"/>
        <v>0</v>
      </c>
    </row>
    <row r="512" spans="1:17" ht="12.5" x14ac:dyDescent="0.25">
      <c r="A512" s="1" t="s">
        <v>84</v>
      </c>
      <c r="B512" s="1" t="s">
        <v>16</v>
      </c>
      <c r="C512" s="1" t="s">
        <v>56</v>
      </c>
      <c r="D512" s="1" t="s">
        <v>41</v>
      </c>
      <c r="E512" s="1">
        <v>546.70469800000001</v>
      </c>
      <c r="F512" s="1">
        <v>16</v>
      </c>
      <c r="G512" s="1">
        <v>1226</v>
      </c>
      <c r="H512" s="1">
        <v>34.169044</v>
      </c>
      <c r="I512" s="1">
        <v>1.3051E-2</v>
      </c>
      <c r="J512" s="1">
        <v>445.92552899999998</v>
      </c>
      <c r="K512" s="1">
        <v>0</v>
      </c>
      <c r="L512" s="1">
        <v>0</v>
      </c>
      <c r="M512" s="1" t="s">
        <v>43</v>
      </c>
      <c r="N512" s="1" t="s">
        <v>44</v>
      </c>
      <c r="O512" s="1" t="s">
        <v>44</v>
      </c>
      <c r="P512" s="2">
        <f t="shared" si="14"/>
        <v>0</v>
      </c>
      <c r="Q512" s="2">
        <f t="shared" si="15"/>
        <v>0</v>
      </c>
    </row>
    <row r="513" spans="1:17" ht="12.5" x14ac:dyDescent="0.25">
      <c r="A513" s="1" t="s">
        <v>77</v>
      </c>
      <c r="B513" s="1" t="s">
        <v>16</v>
      </c>
      <c r="C513" s="1" t="s">
        <v>56</v>
      </c>
      <c r="D513" s="1" t="s">
        <v>41</v>
      </c>
      <c r="E513" s="1">
        <v>366.68728599999997</v>
      </c>
      <c r="F513" s="1">
        <v>11</v>
      </c>
      <c r="G513" s="1">
        <v>681</v>
      </c>
      <c r="H513" s="1">
        <v>33.335208000000002</v>
      </c>
      <c r="I513" s="1">
        <v>1.6153000000000001E-2</v>
      </c>
      <c r="J513" s="1">
        <v>538.45416399999999</v>
      </c>
      <c r="K513" s="1">
        <v>0</v>
      </c>
      <c r="L513" s="1">
        <v>0</v>
      </c>
      <c r="M513" s="1" t="s">
        <v>43</v>
      </c>
      <c r="N513" s="1" t="s">
        <v>44</v>
      </c>
      <c r="O513" s="1" t="s">
        <v>44</v>
      </c>
      <c r="P513" s="2">
        <f t="shared" si="14"/>
        <v>0</v>
      </c>
      <c r="Q513" s="2">
        <f t="shared" si="15"/>
        <v>0</v>
      </c>
    </row>
    <row r="514" spans="1:17" ht="12.5" x14ac:dyDescent="0.25">
      <c r="A514" s="1" t="s">
        <v>78</v>
      </c>
      <c r="B514" s="1" t="s">
        <v>16</v>
      </c>
      <c r="C514" s="1" t="s">
        <v>56</v>
      </c>
      <c r="D514" s="1" t="s">
        <v>41</v>
      </c>
      <c r="E514" s="1">
        <v>538.02911300000005</v>
      </c>
      <c r="F514" s="1">
        <v>9</v>
      </c>
      <c r="G514" s="1">
        <v>930</v>
      </c>
      <c r="H514" s="1">
        <v>59.781013000000002</v>
      </c>
      <c r="I514" s="1">
        <v>9.6769999999999998E-3</v>
      </c>
      <c r="J514" s="1">
        <v>578.52592800000002</v>
      </c>
      <c r="K514" s="1">
        <v>0</v>
      </c>
      <c r="L514" s="1">
        <v>0</v>
      </c>
      <c r="M514" s="1" t="s">
        <v>43</v>
      </c>
      <c r="N514" s="1" t="s">
        <v>44</v>
      </c>
      <c r="O514" s="1" t="s">
        <v>44</v>
      </c>
      <c r="P514" s="2">
        <f t="shared" si="14"/>
        <v>0</v>
      </c>
      <c r="Q514" s="2">
        <f t="shared" si="15"/>
        <v>0</v>
      </c>
    </row>
    <row r="515" spans="1:17" ht="12.5" x14ac:dyDescent="0.25">
      <c r="A515" s="1" t="s">
        <v>79</v>
      </c>
      <c r="B515" s="1" t="s">
        <v>16</v>
      </c>
      <c r="C515" s="1" t="s">
        <v>56</v>
      </c>
      <c r="D515" s="1" t="s">
        <v>41</v>
      </c>
      <c r="E515" s="1">
        <v>629.67902300000003</v>
      </c>
      <c r="F515" s="1">
        <v>17</v>
      </c>
      <c r="G515" s="1">
        <v>1270</v>
      </c>
      <c r="H515" s="1">
        <v>37.039943000000001</v>
      </c>
      <c r="I515" s="1">
        <v>1.3386E-2</v>
      </c>
      <c r="J515" s="1">
        <v>495.81025399999999</v>
      </c>
      <c r="K515" s="1">
        <v>0</v>
      </c>
      <c r="L515" s="1">
        <v>0</v>
      </c>
      <c r="M515" s="1" t="s">
        <v>43</v>
      </c>
      <c r="N515" s="1" t="s">
        <v>44</v>
      </c>
      <c r="O515" s="1" t="s">
        <v>44</v>
      </c>
      <c r="P515" s="2">
        <f t="shared" ref="P515:P578" si="16">IFERROR(K515/ L515, 0)</f>
        <v>0</v>
      </c>
      <c r="Q515" s="2">
        <f t="shared" ref="Q515:Q578" si="17">IFERROR(E515/K515, 0)</f>
        <v>0</v>
      </c>
    </row>
    <row r="516" spans="1:17" ht="12.5" x14ac:dyDescent="0.25">
      <c r="A516" s="1" t="s">
        <v>80</v>
      </c>
      <c r="B516" s="1" t="s">
        <v>16</v>
      </c>
      <c r="C516" s="1" t="s">
        <v>56</v>
      </c>
      <c r="D516" s="1" t="s">
        <v>41</v>
      </c>
      <c r="E516" s="1">
        <v>566.13</v>
      </c>
      <c r="F516" s="1">
        <v>16</v>
      </c>
      <c r="G516" s="1">
        <v>760</v>
      </c>
      <c r="H516" s="1">
        <v>35.383125</v>
      </c>
      <c r="I516" s="1">
        <v>2.1052999999999999E-2</v>
      </c>
      <c r="J516" s="1">
        <v>744.90789500000005</v>
      </c>
      <c r="K516" s="1">
        <v>0</v>
      </c>
      <c r="L516" s="1">
        <v>0</v>
      </c>
      <c r="M516" s="1" t="s">
        <v>43</v>
      </c>
      <c r="N516" s="1" t="s">
        <v>44</v>
      </c>
      <c r="O516" s="1" t="s">
        <v>44</v>
      </c>
      <c r="P516" s="2">
        <f t="shared" si="16"/>
        <v>0</v>
      </c>
      <c r="Q516" s="2">
        <f t="shared" si="17"/>
        <v>0</v>
      </c>
    </row>
    <row r="517" spans="1:17" ht="12.5" x14ac:dyDescent="0.25">
      <c r="A517" s="1" t="s">
        <v>81</v>
      </c>
      <c r="B517" s="1" t="s">
        <v>16</v>
      </c>
      <c r="C517" s="1" t="s">
        <v>56</v>
      </c>
      <c r="D517" s="1" t="s">
        <v>41</v>
      </c>
      <c r="E517" s="1">
        <v>65.180000000000007</v>
      </c>
      <c r="F517" s="1">
        <v>3</v>
      </c>
      <c r="G517" s="1">
        <v>140</v>
      </c>
      <c r="H517" s="1">
        <v>21.726666999999999</v>
      </c>
      <c r="I517" s="1">
        <v>2.1429E-2</v>
      </c>
      <c r="J517" s="1">
        <v>465.57142900000002</v>
      </c>
      <c r="K517" s="1">
        <v>0</v>
      </c>
      <c r="L517" s="1">
        <v>0</v>
      </c>
      <c r="M517" s="1" t="s">
        <v>43</v>
      </c>
      <c r="N517" s="1" t="s">
        <v>44</v>
      </c>
      <c r="O517" s="1" t="s">
        <v>44</v>
      </c>
      <c r="P517" s="2">
        <f t="shared" si="16"/>
        <v>0</v>
      </c>
      <c r="Q517" s="2">
        <f t="shared" si="17"/>
        <v>0</v>
      </c>
    </row>
    <row r="518" spans="1:17" ht="12.5" x14ac:dyDescent="0.25">
      <c r="A518" s="1" t="s">
        <v>82</v>
      </c>
      <c r="B518" s="1" t="s">
        <v>16</v>
      </c>
      <c r="C518" s="1" t="s">
        <v>56</v>
      </c>
      <c r="D518" s="1" t="s">
        <v>41</v>
      </c>
      <c r="E518" s="1">
        <v>172.93</v>
      </c>
      <c r="F518" s="1">
        <v>8</v>
      </c>
      <c r="G518" s="1">
        <v>182</v>
      </c>
      <c r="H518" s="1">
        <v>21.616250000000001</v>
      </c>
      <c r="I518" s="1">
        <v>4.3956000000000002E-2</v>
      </c>
      <c r="J518" s="1">
        <v>950.16483500000004</v>
      </c>
      <c r="K518" s="1">
        <v>0</v>
      </c>
      <c r="L518" s="1">
        <v>0</v>
      </c>
      <c r="M518" s="1" t="s">
        <v>43</v>
      </c>
      <c r="N518" s="1" t="s">
        <v>44</v>
      </c>
      <c r="O518" s="1" t="s">
        <v>44</v>
      </c>
      <c r="P518" s="2">
        <f t="shared" si="16"/>
        <v>0</v>
      </c>
      <c r="Q518" s="2">
        <f t="shared" si="17"/>
        <v>0</v>
      </c>
    </row>
    <row r="519" spans="1:17" ht="12.5" x14ac:dyDescent="0.25">
      <c r="A519" s="1" t="s">
        <v>83</v>
      </c>
      <c r="B519" s="1" t="s">
        <v>16</v>
      </c>
      <c r="C519" s="1" t="s">
        <v>56</v>
      </c>
      <c r="D519" s="1" t="s">
        <v>41</v>
      </c>
      <c r="E519" s="1">
        <v>408.33</v>
      </c>
      <c r="F519" s="1">
        <v>3</v>
      </c>
      <c r="G519" s="1">
        <v>45</v>
      </c>
      <c r="H519" s="1">
        <v>136.11000000000001</v>
      </c>
      <c r="I519" s="1">
        <v>6.6667000000000004E-2</v>
      </c>
      <c r="J519" s="1">
        <v>9074</v>
      </c>
      <c r="K519" s="1">
        <v>0</v>
      </c>
      <c r="L519" s="1">
        <v>0</v>
      </c>
      <c r="M519" s="1" t="s">
        <v>43</v>
      </c>
      <c r="N519" s="1" t="s">
        <v>44</v>
      </c>
      <c r="O519" s="1" t="s">
        <v>44</v>
      </c>
      <c r="P519" s="2">
        <f t="shared" si="16"/>
        <v>0</v>
      </c>
      <c r="Q519" s="2">
        <f t="shared" si="17"/>
        <v>0</v>
      </c>
    </row>
    <row r="520" spans="1:17" ht="12.5" x14ac:dyDescent="0.25">
      <c r="A520" s="3">
        <v>46364</v>
      </c>
      <c r="B520" s="1" t="s">
        <v>16</v>
      </c>
      <c r="C520" s="1" t="s">
        <v>56</v>
      </c>
      <c r="D520" s="1" t="s">
        <v>41</v>
      </c>
      <c r="E520" s="1">
        <v>0</v>
      </c>
      <c r="F520" s="1">
        <v>0</v>
      </c>
      <c r="G520" s="1">
        <v>73</v>
      </c>
      <c r="I520" s="1">
        <v>0</v>
      </c>
      <c r="J520" s="1">
        <v>0</v>
      </c>
      <c r="K520" s="1">
        <v>0</v>
      </c>
      <c r="L520" s="1">
        <v>0</v>
      </c>
      <c r="M520" s="1" t="s">
        <v>19</v>
      </c>
      <c r="N520" s="1" t="s">
        <v>47</v>
      </c>
      <c r="O520" s="1" t="s">
        <v>47</v>
      </c>
      <c r="P520" s="2">
        <f t="shared" si="16"/>
        <v>0</v>
      </c>
      <c r="Q520" s="2">
        <f t="shared" si="17"/>
        <v>0</v>
      </c>
    </row>
    <row r="521" spans="1:17" ht="12.5" x14ac:dyDescent="0.25">
      <c r="A521" s="1" t="s">
        <v>73</v>
      </c>
      <c r="B521" s="1" t="s">
        <v>16</v>
      </c>
      <c r="C521" s="1" t="s">
        <v>56</v>
      </c>
      <c r="D521" s="1" t="s">
        <v>41</v>
      </c>
      <c r="E521" s="1">
        <v>0</v>
      </c>
      <c r="F521" s="1">
        <v>0</v>
      </c>
      <c r="G521" s="1">
        <v>34</v>
      </c>
      <c r="I521" s="1">
        <v>0</v>
      </c>
      <c r="J521" s="1">
        <v>0</v>
      </c>
      <c r="K521" s="1">
        <v>0</v>
      </c>
      <c r="L521" s="1">
        <v>0</v>
      </c>
      <c r="M521" s="1" t="s">
        <v>19</v>
      </c>
      <c r="N521" s="1" t="s">
        <v>20</v>
      </c>
      <c r="O521" s="1" t="s">
        <v>20</v>
      </c>
      <c r="P521" s="2">
        <f t="shared" si="16"/>
        <v>0</v>
      </c>
      <c r="Q521" s="2">
        <f t="shared" si="17"/>
        <v>0</v>
      </c>
    </row>
    <row r="522" spans="1:17" ht="12.5" x14ac:dyDescent="0.25">
      <c r="A522" s="3">
        <v>46120</v>
      </c>
      <c r="B522" s="1" t="s">
        <v>16</v>
      </c>
      <c r="C522" s="1" t="s">
        <v>40</v>
      </c>
      <c r="D522" s="1" t="s">
        <v>41</v>
      </c>
      <c r="E522" s="1">
        <v>0</v>
      </c>
      <c r="F522" s="1">
        <v>0</v>
      </c>
      <c r="G522" s="1">
        <v>1</v>
      </c>
      <c r="I522" s="1">
        <v>0</v>
      </c>
      <c r="J522" s="1">
        <v>0</v>
      </c>
      <c r="K522" s="1">
        <v>0</v>
      </c>
      <c r="L522" s="1">
        <v>0</v>
      </c>
      <c r="M522" s="1" t="s">
        <v>31</v>
      </c>
      <c r="N522" s="1" t="s">
        <v>31</v>
      </c>
      <c r="O522" s="1" t="s">
        <v>31</v>
      </c>
      <c r="P522" s="2">
        <f t="shared" si="16"/>
        <v>0</v>
      </c>
      <c r="Q522" s="2">
        <f t="shared" si="17"/>
        <v>0</v>
      </c>
    </row>
    <row r="523" spans="1:17" ht="12.5" x14ac:dyDescent="0.25">
      <c r="A523" s="3">
        <v>46030</v>
      </c>
      <c r="B523" s="1" t="s">
        <v>16</v>
      </c>
      <c r="C523" s="1" t="s">
        <v>67</v>
      </c>
      <c r="D523" s="1" t="s">
        <v>41</v>
      </c>
      <c r="E523" s="1">
        <v>0.01</v>
      </c>
      <c r="F523" s="1">
        <v>0</v>
      </c>
      <c r="G523" s="1">
        <v>1</v>
      </c>
      <c r="I523" s="1">
        <v>0</v>
      </c>
      <c r="J523" s="1">
        <v>10</v>
      </c>
      <c r="K523" s="1">
        <v>0</v>
      </c>
      <c r="L523" s="1">
        <v>0</v>
      </c>
      <c r="M523" s="1" t="s">
        <v>31</v>
      </c>
      <c r="N523" s="1" t="s">
        <v>31</v>
      </c>
      <c r="O523" s="1" t="s">
        <v>31</v>
      </c>
      <c r="P523" s="2">
        <f t="shared" si="16"/>
        <v>0</v>
      </c>
      <c r="Q523" s="2">
        <f t="shared" si="17"/>
        <v>0</v>
      </c>
    </row>
    <row r="524" spans="1:17" ht="12.5" x14ac:dyDescent="0.25">
      <c r="A524" s="1" t="s">
        <v>72</v>
      </c>
      <c r="B524" s="1" t="s">
        <v>16</v>
      </c>
      <c r="C524" s="1" t="s">
        <v>56</v>
      </c>
      <c r="D524" s="1" t="s">
        <v>41</v>
      </c>
      <c r="E524" s="1">
        <v>0</v>
      </c>
      <c r="F524" s="1">
        <v>0</v>
      </c>
      <c r="G524" s="1">
        <v>51</v>
      </c>
      <c r="I524" s="1">
        <v>0</v>
      </c>
      <c r="J524" s="1">
        <v>0</v>
      </c>
      <c r="K524" s="1">
        <v>0</v>
      </c>
      <c r="L524" s="1">
        <v>0</v>
      </c>
      <c r="M524" s="1" t="s">
        <v>19</v>
      </c>
      <c r="N524" s="1" t="s">
        <v>47</v>
      </c>
      <c r="O524" s="1" t="s">
        <v>47</v>
      </c>
      <c r="P524" s="2">
        <f t="shared" si="16"/>
        <v>0</v>
      </c>
      <c r="Q524" s="2">
        <f t="shared" si="17"/>
        <v>0</v>
      </c>
    </row>
    <row r="525" spans="1:17" ht="12.5" x14ac:dyDescent="0.25">
      <c r="A525" s="1" t="s">
        <v>83</v>
      </c>
      <c r="B525" s="1" t="s">
        <v>16</v>
      </c>
      <c r="C525" s="1" t="s">
        <v>56</v>
      </c>
      <c r="D525" s="1" t="s">
        <v>41</v>
      </c>
      <c r="E525" s="1">
        <v>0</v>
      </c>
      <c r="F525" s="1">
        <v>0</v>
      </c>
      <c r="G525" s="1">
        <v>2</v>
      </c>
      <c r="I525" s="1">
        <v>0</v>
      </c>
      <c r="J525" s="1">
        <v>0</v>
      </c>
      <c r="K525" s="1">
        <v>0</v>
      </c>
      <c r="L525" s="1">
        <v>0</v>
      </c>
      <c r="M525" s="1" t="s">
        <v>19</v>
      </c>
      <c r="N525" s="1" t="s">
        <v>47</v>
      </c>
      <c r="O525" s="1" t="s">
        <v>47</v>
      </c>
      <c r="P525" s="2">
        <f t="shared" si="16"/>
        <v>0</v>
      </c>
      <c r="Q525" s="2">
        <f t="shared" si="17"/>
        <v>0</v>
      </c>
    </row>
    <row r="526" spans="1:17" ht="12.5" x14ac:dyDescent="0.25">
      <c r="A526" s="1" t="s">
        <v>77</v>
      </c>
      <c r="B526" s="1" t="s">
        <v>16</v>
      </c>
      <c r="C526" s="1" t="s">
        <v>46</v>
      </c>
      <c r="D526" s="1" t="s">
        <v>41</v>
      </c>
      <c r="E526" s="1">
        <v>0</v>
      </c>
      <c r="F526" s="1">
        <v>0</v>
      </c>
      <c r="G526" s="1">
        <v>2</v>
      </c>
      <c r="I526" s="1">
        <v>0</v>
      </c>
      <c r="J526" s="1">
        <v>0</v>
      </c>
      <c r="K526" s="1">
        <v>0</v>
      </c>
      <c r="L526" s="1">
        <v>0</v>
      </c>
      <c r="M526" s="1" t="s">
        <v>19</v>
      </c>
      <c r="N526" s="1" t="s">
        <v>69</v>
      </c>
      <c r="O526" s="1" t="s">
        <v>69</v>
      </c>
      <c r="P526" s="2">
        <f t="shared" si="16"/>
        <v>0</v>
      </c>
      <c r="Q526" s="2">
        <f t="shared" si="17"/>
        <v>0</v>
      </c>
    </row>
    <row r="527" spans="1:17" ht="12.5" x14ac:dyDescent="0.25">
      <c r="A527" s="1" t="s">
        <v>79</v>
      </c>
      <c r="B527" s="1" t="s">
        <v>16</v>
      </c>
      <c r="C527" s="1" t="s">
        <v>46</v>
      </c>
      <c r="D527" s="1" t="s">
        <v>41</v>
      </c>
      <c r="E527" s="1">
        <v>0</v>
      </c>
      <c r="F527" s="1">
        <v>0</v>
      </c>
      <c r="G527" s="1">
        <v>7</v>
      </c>
      <c r="I527" s="1">
        <v>0</v>
      </c>
      <c r="J527" s="1">
        <v>0</v>
      </c>
      <c r="K527" s="1">
        <v>0</v>
      </c>
      <c r="L527" s="1">
        <v>0</v>
      </c>
      <c r="M527" s="1" t="s">
        <v>19</v>
      </c>
      <c r="N527" s="1" t="s">
        <v>69</v>
      </c>
      <c r="O527" s="1" t="s">
        <v>69</v>
      </c>
      <c r="P527" s="2">
        <f t="shared" si="16"/>
        <v>0</v>
      </c>
      <c r="Q527" s="2">
        <f t="shared" si="17"/>
        <v>0</v>
      </c>
    </row>
    <row r="528" spans="1:17" ht="12.5" x14ac:dyDescent="0.25">
      <c r="A528" s="1" t="s">
        <v>70</v>
      </c>
      <c r="B528" s="1" t="s">
        <v>16</v>
      </c>
      <c r="C528" s="1" t="s">
        <v>56</v>
      </c>
      <c r="D528" s="1" t="s">
        <v>41</v>
      </c>
      <c r="E528" s="1">
        <v>20.506643</v>
      </c>
      <c r="F528" s="1">
        <v>0</v>
      </c>
      <c r="G528" s="1">
        <v>65</v>
      </c>
      <c r="I528" s="1">
        <v>0</v>
      </c>
      <c r="J528" s="1">
        <v>315.48681499999998</v>
      </c>
      <c r="K528" s="1">
        <v>0</v>
      </c>
      <c r="L528" s="1">
        <v>0</v>
      </c>
      <c r="M528" s="1" t="s">
        <v>19</v>
      </c>
      <c r="N528" s="1" t="s">
        <v>47</v>
      </c>
      <c r="O528" s="1" t="s">
        <v>47</v>
      </c>
      <c r="P528" s="2">
        <f t="shared" si="16"/>
        <v>0</v>
      </c>
      <c r="Q528" s="2">
        <f t="shared" si="17"/>
        <v>0</v>
      </c>
    </row>
    <row r="529" spans="1:17" ht="12.5" x14ac:dyDescent="0.25">
      <c r="A529" s="1" t="s">
        <v>84</v>
      </c>
      <c r="B529" s="1" t="s">
        <v>16</v>
      </c>
      <c r="C529" s="1" t="s">
        <v>46</v>
      </c>
      <c r="D529" s="1" t="s">
        <v>41</v>
      </c>
      <c r="E529" s="1">
        <v>1.37</v>
      </c>
      <c r="F529" s="1">
        <v>1</v>
      </c>
      <c r="G529" s="1">
        <v>3</v>
      </c>
      <c r="H529" s="1">
        <v>1.37</v>
      </c>
      <c r="I529" s="1">
        <v>0.33333299999999999</v>
      </c>
      <c r="J529" s="1">
        <v>456.66666700000002</v>
      </c>
      <c r="K529" s="1">
        <v>0</v>
      </c>
      <c r="L529" s="1">
        <v>0</v>
      </c>
      <c r="M529" s="1" t="s">
        <v>19</v>
      </c>
      <c r="N529" s="1" t="s">
        <v>47</v>
      </c>
      <c r="O529" s="1" t="s">
        <v>47</v>
      </c>
      <c r="P529" s="2">
        <f t="shared" si="16"/>
        <v>0</v>
      </c>
      <c r="Q529" s="2">
        <f t="shared" si="17"/>
        <v>0</v>
      </c>
    </row>
    <row r="530" spans="1:17" ht="12.5" x14ac:dyDescent="0.25">
      <c r="A530" s="3">
        <v>46364</v>
      </c>
      <c r="B530" s="1" t="s">
        <v>16</v>
      </c>
      <c r="C530" s="1" t="s">
        <v>46</v>
      </c>
      <c r="D530" s="1" t="s">
        <v>41</v>
      </c>
      <c r="E530" s="1">
        <v>0</v>
      </c>
      <c r="F530" s="1">
        <v>0</v>
      </c>
      <c r="G530" s="1">
        <v>4</v>
      </c>
      <c r="I530" s="1">
        <v>0</v>
      </c>
      <c r="J530" s="1">
        <v>0</v>
      </c>
      <c r="K530" s="1">
        <v>0</v>
      </c>
      <c r="L530" s="1">
        <v>0</v>
      </c>
      <c r="M530" s="1" t="s">
        <v>19</v>
      </c>
      <c r="N530" s="1" t="s">
        <v>47</v>
      </c>
      <c r="O530" s="1" t="s">
        <v>47</v>
      </c>
      <c r="P530" s="2">
        <f t="shared" si="16"/>
        <v>0</v>
      </c>
      <c r="Q530" s="2">
        <f t="shared" si="17"/>
        <v>0</v>
      </c>
    </row>
    <row r="531" spans="1:17" ht="12.5" x14ac:dyDescent="0.25">
      <c r="A531" s="1" t="s">
        <v>83</v>
      </c>
      <c r="B531" s="1" t="s">
        <v>16</v>
      </c>
      <c r="C531" s="1" t="s">
        <v>56</v>
      </c>
      <c r="D531" s="1" t="s">
        <v>41</v>
      </c>
      <c r="E531" s="1">
        <v>0</v>
      </c>
      <c r="F531" s="1">
        <v>0</v>
      </c>
      <c r="G531" s="1">
        <v>17</v>
      </c>
      <c r="I531" s="1">
        <v>0</v>
      </c>
      <c r="J531" s="1">
        <v>0</v>
      </c>
      <c r="K531" s="1">
        <v>0</v>
      </c>
      <c r="L531" s="1">
        <v>0</v>
      </c>
      <c r="M531" s="1" t="s">
        <v>19</v>
      </c>
      <c r="N531" s="1" t="s">
        <v>20</v>
      </c>
      <c r="O531" s="1" t="s">
        <v>20</v>
      </c>
      <c r="P531" s="2">
        <f t="shared" si="16"/>
        <v>0</v>
      </c>
      <c r="Q531" s="2">
        <f t="shared" si="17"/>
        <v>0</v>
      </c>
    </row>
    <row r="532" spans="1:17" ht="12.5" x14ac:dyDescent="0.25">
      <c r="A532" s="1" t="s">
        <v>70</v>
      </c>
      <c r="B532" s="1" t="s">
        <v>16</v>
      </c>
      <c r="C532" s="1" t="s">
        <v>56</v>
      </c>
      <c r="D532" s="1" t="s">
        <v>41</v>
      </c>
      <c r="E532" s="1">
        <v>0</v>
      </c>
      <c r="F532" s="1">
        <v>0</v>
      </c>
      <c r="G532" s="1">
        <v>27</v>
      </c>
      <c r="I532" s="1">
        <v>0</v>
      </c>
      <c r="J532" s="1">
        <v>0</v>
      </c>
      <c r="K532" s="1">
        <v>0</v>
      </c>
      <c r="L532" s="1">
        <v>0</v>
      </c>
      <c r="M532" s="1" t="s">
        <v>19</v>
      </c>
      <c r="N532" s="1" t="s">
        <v>69</v>
      </c>
      <c r="O532" s="1" t="s">
        <v>69</v>
      </c>
      <c r="P532" s="2">
        <f t="shared" si="16"/>
        <v>0</v>
      </c>
      <c r="Q532" s="2">
        <f t="shared" si="17"/>
        <v>0</v>
      </c>
    </row>
    <row r="533" spans="1:17" ht="12.5" x14ac:dyDescent="0.25">
      <c r="A533" s="1" t="s">
        <v>81</v>
      </c>
      <c r="B533" s="1" t="s">
        <v>16</v>
      </c>
      <c r="C533" s="1" t="s">
        <v>56</v>
      </c>
      <c r="D533" s="1" t="s">
        <v>41</v>
      </c>
      <c r="E533" s="1">
        <v>0</v>
      </c>
      <c r="F533" s="1">
        <v>0</v>
      </c>
      <c r="G533" s="1">
        <v>6</v>
      </c>
      <c r="I533" s="1">
        <v>0</v>
      </c>
      <c r="J533" s="1">
        <v>0</v>
      </c>
      <c r="K533" s="1">
        <v>0</v>
      </c>
      <c r="L533" s="1">
        <v>0</v>
      </c>
      <c r="M533" s="1" t="s">
        <v>19</v>
      </c>
      <c r="N533" s="1" t="s">
        <v>47</v>
      </c>
      <c r="O533" s="1" t="s">
        <v>47</v>
      </c>
      <c r="P533" s="2">
        <f t="shared" si="16"/>
        <v>0</v>
      </c>
      <c r="Q533" s="2">
        <f t="shared" si="17"/>
        <v>0</v>
      </c>
    </row>
    <row r="534" spans="1:17" ht="12.5" x14ac:dyDescent="0.25">
      <c r="A534" s="1" t="s">
        <v>73</v>
      </c>
      <c r="B534" s="1" t="s">
        <v>16</v>
      </c>
      <c r="C534" s="1" t="s">
        <v>56</v>
      </c>
      <c r="D534" s="1" t="s">
        <v>41</v>
      </c>
      <c r="E534" s="1">
        <v>19.327919999999999</v>
      </c>
      <c r="F534" s="1">
        <v>0</v>
      </c>
      <c r="G534" s="1">
        <v>86</v>
      </c>
      <c r="I534" s="1">
        <v>0</v>
      </c>
      <c r="J534" s="1">
        <v>224.743256</v>
      </c>
      <c r="K534" s="1">
        <v>0</v>
      </c>
      <c r="L534" s="1">
        <v>0</v>
      </c>
      <c r="M534" s="1" t="s">
        <v>19</v>
      </c>
      <c r="N534" s="1" t="s">
        <v>69</v>
      </c>
      <c r="O534" s="1" t="s">
        <v>69</v>
      </c>
      <c r="P534" s="2">
        <f t="shared" si="16"/>
        <v>0</v>
      </c>
      <c r="Q534" s="2">
        <f t="shared" si="17"/>
        <v>0</v>
      </c>
    </row>
    <row r="535" spans="1:17" ht="12.5" x14ac:dyDescent="0.25">
      <c r="A535" s="3">
        <v>46181</v>
      </c>
      <c r="B535" s="1" t="s">
        <v>16</v>
      </c>
      <c r="C535" s="1" t="s">
        <v>46</v>
      </c>
      <c r="D535" s="1" t="s">
        <v>41</v>
      </c>
      <c r="E535" s="1">
        <v>0</v>
      </c>
      <c r="F535" s="1">
        <v>0</v>
      </c>
      <c r="G535" s="1">
        <v>9</v>
      </c>
      <c r="I535" s="1">
        <v>0</v>
      </c>
      <c r="J535" s="1">
        <v>0</v>
      </c>
      <c r="K535" s="1">
        <v>0</v>
      </c>
      <c r="L535" s="1">
        <v>0</v>
      </c>
      <c r="M535" s="1" t="s">
        <v>43</v>
      </c>
      <c r="N535" s="1" t="s">
        <v>44</v>
      </c>
      <c r="O535" s="1" t="s">
        <v>44</v>
      </c>
      <c r="P535" s="2">
        <f t="shared" si="16"/>
        <v>0</v>
      </c>
      <c r="Q535" s="2">
        <f t="shared" si="17"/>
        <v>0</v>
      </c>
    </row>
    <row r="536" spans="1:17" ht="12.5" x14ac:dyDescent="0.25">
      <c r="A536" s="1" t="s">
        <v>74</v>
      </c>
      <c r="B536" s="1" t="s">
        <v>16</v>
      </c>
      <c r="C536" s="1" t="s">
        <v>56</v>
      </c>
      <c r="D536" s="1" t="s">
        <v>41</v>
      </c>
      <c r="E536" s="1">
        <v>0</v>
      </c>
      <c r="F536" s="1">
        <v>0</v>
      </c>
      <c r="G536" s="1">
        <v>85</v>
      </c>
      <c r="I536" s="1">
        <v>0</v>
      </c>
      <c r="J536" s="1">
        <v>0</v>
      </c>
      <c r="K536" s="1">
        <v>0</v>
      </c>
      <c r="L536" s="1">
        <v>0</v>
      </c>
      <c r="M536" s="1" t="s">
        <v>19</v>
      </c>
      <c r="N536" s="1" t="s">
        <v>69</v>
      </c>
      <c r="O536" s="1" t="s">
        <v>69</v>
      </c>
      <c r="P536" s="2">
        <f t="shared" si="16"/>
        <v>0</v>
      </c>
      <c r="Q536" s="2">
        <f t="shared" si="17"/>
        <v>0</v>
      </c>
    </row>
    <row r="537" spans="1:17" ht="12.5" x14ac:dyDescent="0.25">
      <c r="A537" s="3">
        <v>46120</v>
      </c>
      <c r="B537" s="1" t="s">
        <v>16</v>
      </c>
      <c r="C537" s="1" t="s">
        <v>68</v>
      </c>
      <c r="D537" s="1" t="s">
        <v>41</v>
      </c>
      <c r="E537" s="1">
        <v>0.83004800000000001</v>
      </c>
      <c r="F537" s="1">
        <v>0</v>
      </c>
      <c r="G537" s="1">
        <v>17</v>
      </c>
      <c r="I537" s="1">
        <v>0</v>
      </c>
      <c r="J537" s="1">
        <v>48.826352999999997</v>
      </c>
      <c r="K537" s="1">
        <v>0</v>
      </c>
      <c r="L537" s="1">
        <v>0</v>
      </c>
      <c r="M537" s="1" t="s">
        <v>31</v>
      </c>
      <c r="N537" s="1" t="s">
        <v>31</v>
      </c>
      <c r="O537" s="1" t="s">
        <v>31</v>
      </c>
      <c r="P537" s="2">
        <f t="shared" si="16"/>
        <v>0</v>
      </c>
      <c r="Q537" s="2">
        <f t="shared" si="17"/>
        <v>0</v>
      </c>
    </row>
    <row r="538" spans="1:17" ht="12.5" x14ac:dyDescent="0.25">
      <c r="A538" s="1" t="s">
        <v>72</v>
      </c>
      <c r="B538" s="1" t="s">
        <v>16</v>
      </c>
      <c r="C538" s="1" t="s">
        <v>56</v>
      </c>
      <c r="D538" s="1" t="s">
        <v>41</v>
      </c>
      <c r="E538" s="1">
        <v>0</v>
      </c>
      <c r="F538" s="1">
        <v>0</v>
      </c>
      <c r="G538" s="1">
        <v>106</v>
      </c>
      <c r="I538" s="1">
        <v>0</v>
      </c>
      <c r="J538" s="1">
        <v>0</v>
      </c>
      <c r="K538" s="1">
        <v>0</v>
      </c>
      <c r="L538" s="1">
        <v>0</v>
      </c>
      <c r="M538" s="1" t="s">
        <v>19</v>
      </c>
      <c r="N538" s="1" t="s">
        <v>69</v>
      </c>
      <c r="O538" s="1" t="s">
        <v>69</v>
      </c>
      <c r="P538" s="2">
        <f t="shared" si="16"/>
        <v>0</v>
      </c>
      <c r="Q538" s="2">
        <f t="shared" si="17"/>
        <v>0</v>
      </c>
    </row>
    <row r="539" spans="1:17" ht="12.5" x14ac:dyDescent="0.25">
      <c r="A539" s="1" t="s">
        <v>80</v>
      </c>
      <c r="B539" s="1" t="s">
        <v>16</v>
      </c>
      <c r="C539" s="1" t="s">
        <v>56</v>
      </c>
      <c r="D539" s="1" t="s">
        <v>41</v>
      </c>
      <c r="E539" s="1">
        <v>0</v>
      </c>
      <c r="F539" s="1">
        <v>0</v>
      </c>
      <c r="G539" s="1">
        <v>43</v>
      </c>
      <c r="I539" s="1">
        <v>0</v>
      </c>
      <c r="J539" s="1">
        <v>0</v>
      </c>
      <c r="K539" s="1">
        <v>0</v>
      </c>
      <c r="L539" s="1">
        <v>0</v>
      </c>
      <c r="M539" s="1" t="s">
        <v>19</v>
      </c>
      <c r="N539" s="1" t="s">
        <v>47</v>
      </c>
      <c r="O539" s="1" t="s">
        <v>47</v>
      </c>
      <c r="P539" s="2">
        <f t="shared" si="16"/>
        <v>0</v>
      </c>
      <c r="Q539" s="2">
        <f t="shared" si="17"/>
        <v>0</v>
      </c>
    </row>
    <row r="540" spans="1:17" ht="12.5" x14ac:dyDescent="0.25">
      <c r="A540" s="3">
        <v>46334</v>
      </c>
      <c r="B540" s="1" t="s">
        <v>16</v>
      </c>
      <c r="C540" s="1" t="s">
        <v>56</v>
      </c>
      <c r="D540" s="1" t="s">
        <v>41</v>
      </c>
      <c r="E540" s="1">
        <v>0</v>
      </c>
      <c r="F540" s="1">
        <v>0</v>
      </c>
      <c r="G540" s="1">
        <v>172</v>
      </c>
      <c r="I540" s="1">
        <v>0</v>
      </c>
      <c r="J540" s="1">
        <v>0</v>
      </c>
      <c r="K540" s="1">
        <v>0</v>
      </c>
      <c r="L540" s="1">
        <v>0</v>
      </c>
      <c r="M540" s="1" t="s">
        <v>19</v>
      </c>
      <c r="N540" s="1" t="s">
        <v>69</v>
      </c>
      <c r="O540" s="1" t="s">
        <v>69</v>
      </c>
      <c r="P540" s="2">
        <f t="shared" si="16"/>
        <v>0</v>
      </c>
      <c r="Q540" s="2">
        <f t="shared" si="17"/>
        <v>0</v>
      </c>
    </row>
    <row r="541" spans="1:17" ht="12.5" x14ac:dyDescent="0.25">
      <c r="A541" s="3">
        <v>46150</v>
      </c>
      <c r="B541" s="1" t="s">
        <v>16</v>
      </c>
      <c r="C541" s="1" t="s">
        <v>56</v>
      </c>
      <c r="D541" s="1" t="s">
        <v>41</v>
      </c>
      <c r="E541" s="1">
        <v>4.0066119999999996</v>
      </c>
      <c r="F541" s="1">
        <v>0</v>
      </c>
      <c r="G541" s="1">
        <v>54</v>
      </c>
      <c r="I541" s="1">
        <v>0</v>
      </c>
      <c r="J541" s="1">
        <v>74.196518999999995</v>
      </c>
      <c r="K541" s="1">
        <v>0</v>
      </c>
      <c r="L541" s="1">
        <v>0</v>
      </c>
      <c r="M541" s="1" t="s">
        <v>19</v>
      </c>
      <c r="N541" s="1" t="s">
        <v>20</v>
      </c>
      <c r="O541" s="1" t="s">
        <v>20</v>
      </c>
      <c r="P541" s="2">
        <f t="shared" si="16"/>
        <v>0</v>
      </c>
      <c r="Q541" s="2">
        <f t="shared" si="17"/>
        <v>0</v>
      </c>
    </row>
    <row r="542" spans="1:17" ht="12.5" x14ac:dyDescent="0.25">
      <c r="A542" s="3">
        <v>46026</v>
      </c>
      <c r="B542" s="1" t="s">
        <v>16</v>
      </c>
      <c r="C542" s="1" t="s">
        <v>40</v>
      </c>
      <c r="D542" s="1" t="s">
        <v>41</v>
      </c>
      <c r="E542" s="1">
        <v>667.890218</v>
      </c>
      <c r="F542" s="1">
        <v>58</v>
      </c>
      <c r="G542" s="1">
        <v>89</v>
      </c>
      <c r="H542" s="1">
        <v>11.515349000000001</v>
      </c>
      <c r="I542" s="1">
        <v>0.65168499999999996</v>
      </c>
      <c r="J542" s="1">
        <v>7504.3844719999997</v>
      </c>
      <c r="K542" s="1">
        <v>0</v>
      </c>
      <c r="L542" s="1">
        <v>0</v>
      </c>
      <c r="M542" s="1" t="s">
        <v>31</v>
      </c>
      <c r="N542" s="1" t="s">
        <v>31</v>
      </c>
      <c r="O542" s="1" t="s">
        <v>31</v>
      </c>
      <c r="P542" s="2">
        <f t="shared" si="16"/>
        <v>0</v>
      </c>
      <c r="Q542" s="2">
        <f t="shared" si="17"/>
        <v>0</v>
      </c>
    </row>
    <row r="543" spans="1:17" ht="12.5" x14ac:dyDescent="0.25">
      <c r="A543" s="3">
        <v>46057</v>
      </c>
      <c r="B543" s="1" t="s">
        <v>16</v>
      </c>
      <c r="C543" s="1" t="s">
        <v>40</v>
      </c>
      <c r="D543" s="1" t="s">
        <v>41</v>
      </c>
      <c r="E543" s="1">
        <v>335.222374</v>
      </c>
      <c r="F543" s="1">
        <v>56</v>
      </c>
      <c r="G543" s="1">
        <v>92</v>
      </c>
      <c r="H543" s="1">
        <v>5.9861139999999997</v>
      </c>
      <c r="I543" s="1">
        <v>0.60869600000000001</v>
      </c>
      <c r="J543" s="1">
        <v>3643.7214570000001</v>
      </c>
      <c r="K543" s="1">
        <v>0.04</v>
      </c>
      <c r="L543" s="1">
        <v>351.43549999999999</v>
      </c>
      <c r="M543" s="1" t="s">
        <v>31</v>
      </c>
      <c r="N543" s="1" t="s">
        <v>31</v>
      </c>
      <c r="O543" s="1" t="s">
        <v>31</v>
      </c>
      <c r="P543" s="2">
        <f t="shared" si="16"/>
        <v>1.1381889422098792E-4</v>
      </c>
      <c r="Q543" s="2">
        <f t="shared" si="17"/>
        <v>8380.5593499999995</v>
      </c>
    </row>
    <row r="544" spans="1:17" ht="12.5" x14ac:dyDescent="0.25">
      <c r="A544" s="3">
        <v>46085</v>
      </c>
      <c r="B544" s="1" t="s">
        <v>16</v>
      </c>
      <c r="C544" s="1" t="s">
        <v>40</v>
      </c>
      <c r="D544" s="1" t="s">
        <v>41</v>
      </c>
      <c r="E544" s="1">
        <v>278.41049099999998</v>
      </c>
      <c r="F544" s="1">
        <v>32</v>
      </c>
      <c r="G544" s="1">
        <v>65</v>
      </c>
      <c r="H544" s="1">
        <v>8.7003280000000007</v>
      </c>
      <c r="I544" s="1">
        <v>0.49230800000000002</v>
      </c>
      <c r="J544" s="1">
        <v>4283.2383229999996</v>
      </c>
      <c r="K544" s="1">
        <v>0</v>
      </c>
      <c r="L544" s="1">
        <v>0</v>
      </c>
      <c r="M544" s="1" t="s">
        <v>31</v>
      </c>
      <c r="N544" s="1" t="s">
        <v>31</v>
      </c>
      <c r="O544" s="1" t="s">
        <v>31</v>
      </c>
      <c r="P544" s="2">
        <f t="shared" si="16"/>
        <v>0</v>
      </c>
      <c r="Q544" s="2">
        <f t="shared" si="17"/>
        <v>0</v>
      </c>
    </row>
    <row r="545" spans="1:17" ht="12.5" x14ac:dyDescent="0.25">
      <c r="A545" s="3">
        <v>46116</v>
      </c>
      <c r="B545" s="1" t="s">
        <v>16</v>
      </c>
      <c r="C545" s="1" t="s">
        <v>40</v>
      </c>
      <c r="D545" s="1" t="s">
        <v>41</v>
      </c>
      <c r="E545" s="1">
        <v>281.61224199999998</v>
      </c>
      <c r="F545" s="1">
        <v>48</v>
      </c>
      <c r="G545" s="1">
        <v>68</v>
      </c>
      <c r="H545" s="1">
        <v>5.8669219999999997</v>
      </c>
      <c r="I545" s="1">
        <v>0.70588200000000001</v>
      </c>
      <c r="J545" s="1">
        <v>4141.3564999999999</v>
      </c>
      <c r="K545" s="1">
        <v>0</v>
      </c>
      <c r="L545" s="1">
        <v>0</v>
      </c>
      <c r="M545" s="1" t="s">
        <v>31</v>
      </c>
      <c r="N545" s="1" t="s">
        <v>31</v>
      </c>
      <c r="O545" s="1" t="s">
        <v>31</v>
      </c>
      <c r="P545" s="2">
        <f t="shared" si="16"/>
        <v>0</v>
      </c>
      <c r="Q545" s="2">
        <f t="shared" si="17"/>
        <v>0</v>
      </c>
    </row>
    <row r="546" spans="1:17" ht="12.5" x14ac:dyDescent="0.25">
      <c r="A546" s="3">
        <v>46146</v>
      </c>
      <c r="B546" s="1" t="s">
        <v>16</v>
      </c>
      <c r="C546" s="1" t="s">
        <v>40</v>
      </c>
      <c r="D546" s="1" t="s">
        <v>41</v>
      </c>
      <c r="E546" s="1">
        <v>15.335337000000001</v>
      </c>
      <c r="F546" s="1">
        <v>24</v>
      </c>
      <c r="G546" s="1">
        <v>39</v>
      </c>
      <c r="H546" s="1">
        <v>0.63897199999999998</v>
      </c>
      <c r="I546" s="1">
        <v>0.61538499999999996</v>
      </c>
      <c r="J546" s="1">
        <v>393.21376900000001</v>
      </c>
      <c r="K546" s="1">
        <v>0</v>
      </c>
      <c r="L546" s="1">
        <v>0</v>
      </c>
      <c r="M546" s="1" t="s">
        <v>31</v>
      </c>
      <c r="N546" s="1" t="s">
        <v>31</v>
      </c>
      <c r="O546" s="1" t="s">
        <v>31</v>
      </c>
      <c r="P546" s="2">
        <f t="shared" si="16"/>
        <v>0</v>
      </c>
      <c r="Q546" s="2">
        <f t="shared" si="17"/>
        <v>0</v>
      </c>
    </row>
    <row r="547" spans="1:17" ht="12.5" x14ac:dyDescent="0.25">
      <c r="A547" s="3">
        <v>46177</v>
      </c>
      <c r="B547" s="1" t="s">
        <v>16</v>
      </c>
      <c r="C547" s="1" t="s">
        <v>40</v>
      </c>
      <c r="D547" s="1" t="s">
        <v>41</v>
      </c>
      <c r="E547" s="1">
        <v>390.20953200000002</v>
      </c>
      <c r="F547" s="1">
        <v>80</v>
      </c>
      <c r="G547" s="1">
        <v>123</v>
      </c>
      <c r="H547" s="1">
        <v>4.8776190000000001</v>
      </c>
      <c r="I547" s="1">
        <v>0.65040699999999996</v>
      </c>
      <c r="J547" s="1">
        <v>3172.4352199999998</v>
      </c>
      <c r="K547" s="1">
        <v>0</v>
      </c>
      <c r="L547" s="1">
        <v>0</v>
      </c>
      <c r="M547" s="1" t="s">
        <v>31</v>
      </c>
      <c r="N547" s="1" t="s">
        <v>31</v>
      </c>
      <c r="O547" s="1" t="s">
        <v>31</v>
      </c>
      <c r="P547" s="2">
        <f t="shared" si="16"/>
        <v>0</v>
      </c>
      <c r="Q547" s="2">
        <f t="shared" si="17"/>
        <v>0</v>
      </c>
    </row>
    <row r="548" spans="1:17" ht="12.5" x14ac:dyDescent="0.25">
      <c r="A548" s="3">
        <v>46207</v>
      </c>
      <c r="B548" s="1" t="s">
        <v>16</v>
      </c>
      <c r="C548" s="1" t="s">
        <v>40</v>
      </c>
      <c r="D548" s="1" t="s">
        <v>41</v>
      </c>
      <c r="E548" s="1">
        <v>862.06595500000003</v>
      </c>
      <c r="F548" s="1">
        <v>127</v>
      </c>
      <c r="G548" s="1">
        <v>186</v>
      </c>
      <c r="H548" s="1">
        <v>6.7879209999999999</v>
      </c>
      <c r="I548" s="1">
        <v>0.68279599999999996</v>
      </c>
      <c r="J548" s="1">
        <v>4634.763199</v>
      </c>
      <c r="K548" s="1">
        <v>0</v>
      </c>
      <c r="L548" s="1">
        <v>0</v>
      </c>
      <c r="M548" s="1" t="s">
        <v>31</v>
      </c>
      <c r="N548" s="1" t="s">
        <v>31</v>
      </c>
      <c r="O548" s="1" t="s">
        <v>31</v>
      </c>
      <c r="P548" s="2">
        <f t="shared" si="16"/>
        <v>0</v>
      </c>
      <c r="Q548" s="2">
        <f t="shared" si="17"/>
        <v>0</v>
      </c>
    </row>
    <row r="549" spans="1:17" ht="12.5" x14ac:dyDescent="0.25">
      <c r="A549" s="3">
        <v>46238</v>
      </c>
      <c r="B549" s="1" t="s">
        <v>16</v>
      </c>
      <c r="C549" s="1" t="s">
        <v>40</v>
      </c>
      <c r="D549" s="1" t="s">
        <v>41</v>
      </c>
      <c r="E549" s="1">
        <v>1041.3908730000001</v>
      </c>
      <c r="F549" s="1">
        <v>147</v>
      </c>
      <c r="G549" s="1">
        <v>233</v>
      </c>
      <c r="H549" s="1">
        <v>7.0842919999999996</v>
      </c>
      <c r="I549" s="1">
        <v>0.63090100000000005</v>
      </c>
      <c r="J549" s="1">
        <v>4469.4887250000002</v>
      </c>
      <c r="K549" s="1">
        <v>0</v>
      </c>
      <c r="L549" s="1">
        <v>0</v>
      </c>
      <c r="M549" s="1" t="s">
        <v>31</v>
      </c>
      <c r="N549" s="1" t="s">
        <v>31</v>
      </c>
      <c r="O549" s="1" t="s">
        <v>31</v>
      </c>
      <c r="P549" s="2">
        <f t="shared" si="16"/>
        <v>0</v>
      </c>
      <c r="Q549" s="2">
        <f t="shared" si="17"/>
        <v>0</v>
      </c>
    </row>
    <row r="550" spans="1:17" ht="12.5" x14ac:dyDescent="0.25">
      <c r="A550" s="3">
        <v>46269</v>
      </c>
      <c r="B550" s="1" t="s">
        <v>16</v>
      </c>
      <c r="C550" s="1" t="s">
        <v>40</v>
      </c>
      <c r="D550" s="1" t="s">
        <v>41</v>
      </c>
      <c r="E550" s="1">
        <v>648.28855199999998</v>
      </c>
      <c r="F550" s="1">
        <v>200</v>
      </c>
      <c r="G550" s="1">
        <v>313</v>
      </c>
      <c r="H550" s="1">
        <v>3.2414429999999999</v>
      </c>
      <c r="I550" s="1">
        <v>0.63897800000000005</v>
      </c>
      <c r="J550" s="1">
        <v>2071.2094310000002</v>
      </c>
      <c r="K550" s="1">
        <v>0</v>
      </c>
      <c r="L550" s="1">
        <v>0</v>
      </c>
      <c r="M550" s="1" t="s">
        <v>31</v>
      </c>
      <c r="N550" s="1" t="s">
        <v>31</v>
      </c>
      <c r="O550" s="1" t="s">
        <v>31</v>
      </c>
      <c r="P550" s="2">
        <f t="shared" si="16"/>
        <v>0</v>
      </c>
      <c r="Q550" s="2">
        <f t="shared" si="17"/>
        <v>0</v>
      </c>
    </row>
    <row r="551" spans="1:17" ht="12.5" x14ac:dyDescent="0.25">
      <c r="A551" s="3">
        <v>46299</v>
      </c>
      <c r="B551" s="1" t="s">
        <v>16</v>
      </c>
      <c r="C551" s="1" t="s">
        <v>40</v>
      </c>
      <c r="D551" s="1" t="s">
        <v>41</v>
      </c>
      <c r="E551" s="1">
        <v>882.25637099999994</v>
      </c>
      <c r="F551" s="1">
        <v>245</v>
      </c>
      <c r="G551" s="1">
        <v>325</v>
      </c>
      <c r="H551" s="1">
        <v>3.6010460000000002</v>
      </c>
      <c r="I551" s="1">
        <v>0.75384600000000002</v>
      </c>
      <c r="J551" s="1">
        <v>2714.6349879999998</v>
      </c>
      <c r="K551" s="1">
        <v>0</v>
      </c>
      <c r="L551" s="1">
        <v>0</v>
      </c>
      <c r="M551" s="1" t="s">
        <v>31</v>
      </c>
      <c r="N551" s="1" t="s">
        <v>31</v>
      </c>
      <c r="O551" s="1" t="s">
        <v>31</v>
      </c>
      <c r="P551" s="2">
        <f t="shared" si="16"/>
        <v>0</v>
      </c>
      <c r="Q551" s="2">
        <f t="shared" si="17"/>
        <v>0</v>
      </c>
    </row>
    <row r="552" spans="1:17" ht="12.5" x14ac:dyDescent="0.25">
      <c r="A552" s="3">
        <v>46330</v>
      </c>
      <c r="B552" s="1" t="s">
        <v>16</v>
      </c>
      <c r="C552" s="1" t="s">
        <v>40</v>
      </c>
      <c r="D552" s="1" t="s">
        <v>41</v>
      </c>
      <c r="E552" s="1">
        <v>437.90888899999999</v>
      </c>
      <c r="F552" s="1">
        <v>174</v>
      </c>
      <c r="G552" s="1">
        <v>233</v>
      </c>
      <c r="H552" s="1">
        <v>2.516718</v>
      </c>
      <c r="I552" s="1">
        <v>0.74678100000000003</v>
      </c>
      <c r="J552" s="1">
        <v>1879.4372920000001</v>
      </c>
      <c r="K552" s="1">
        <v>0</v>
      </c>
      <c r="L552" s="1">
        <v>0</v>
      </c>
      <c r="M552" s="1" t="s">
        <v>31</v>
      </c>
      <c r="N552" s="1" t="s">
        <v>31</v>
      </c>
      <c r="O552" s="1" t="s">
        <v>31</v>
      </c>
      <c r="P552" s="2">
        <f t="shared" si="16"/>
        <v>0</v>
      </c>
      <c r="Q552" s="2">
        <f t="shared" si="17"/>
        <v>0</v>
      </c>
    </row>
    <row r="553" spans="1:17" ht="12.5" x14ac:dyDescent="0.25">
      <c r="A553" s="3">
        <v>46360</v>
      </c>
      <c r="B553" s="1" t="s">
        <v>16</v>
      </c>
      <c r="C553" s="1" t="s">
        <v>40</v>
      </c>
      <c r="D553" s="1" t="s">
        <v>41</v>
      </c>
      <c r="E553" s="1">
        <v>364.80941000000001</v>
      </c>
      <c r="F553" s="1">
        <v>163</v>
      </c>
      <c r="G553" s="1">
        <v>229</v>
      </c>
      <c r="H553" s="1">
        <v>2.2380949999999999</v>
      </c>
      <c r="I553" s="1">
        <v>0.71179000000000003</v>
      </c>
      <c r="J553" s="1">
        <v>1593.0541920000001</v>
      </c>
      <c r="K553" s="1">
        <v>0</v>
      </c>
      <c r="L553" s="1">
        <v>0</v>
      </c>
      <c r="M553" s="1" t="s">
        <v>31</v>
      </c>
      <c r="N553" s="1" t="s">
        <v>31</v>
      </c>
      <c r="O553" s="1" t="s">
        <v>31</v>
      </c>
      <c r="P553" s="2">
        <f t="shared" si="16"/>
        <v>0</v>
      </c>
      <c r="Q553" s="2">
        <f t="shared" si="17"/>
        <v>0</v>
      </c>
    </row>
    <row r="554" spans="1:17" ht="12.5" x14ac:dyDescent="0.25">
      <c r="A554" s="1" t="s">
        <v>85</v>
      </c>
      <c r="B554" s="1" t="s">
        <v>16</v>
      </c>
      <c r="C554" s="1" t="s">
        <v>40</v>
      </c>
      <c r="D554" s="1" t="s">
        <v>41</v>
      </c>
      <c r="E554" s="1">
        <v>676.08625800000004</v>
      </c>
      <c r="F554" s="1">
        <v>123</v>
      </c>
      <c r="G554" s="1">
        <v>186</v>
      </c>
      <c r="H554" s="1">
        <v>5.4966359999999996</v>
      </c>
      <c r="I554" s="1">
        <v>0.66129000000000004</v>
      </c>
      <c r="J554" s="1">
        <v>3634.872355</v>
      </c>
      <c r="K554" s="1">
        <v>0</v>
      </c>
      <c r="L554" s="1">
        <v>0</v>
      </c>
      <c r="M554" s="1" t="s">
        <v>31</v>
      </c>
      <c r="N554" s="1" t="s">
        <v>31</v>
      </c>
      <c r="O554" s="1" t="s">
        <v>31</v>
      </c>
      <c r="P554" s="2">
        <f t="shared" si="16"/>
        <v>0</v>
      </c>
      <c r="Q554" s="2">
        <f t="shared" si="17"/>
        <v>0</v>
      </c>
    </row>
    <row r="555" spans="1:17" ht="12.5" x14ac:dyDescent="0.25">
      <c r="A555" s="1" t="s">
        <v>86</v>
      </c>
      <c r="B555" s="1" t="s">
        <v>16</v>
      </c>
      <c r="C555" s="1" t="s">
        <v>40</v>
      </c>
      <c r="D555" s="1" t="s">
        <v>41</v>
      </c>
      <c r="E555" s="1">
        <v>246.97152</v>
      </c>
      <c r="F555" s="1">
        <v>95</v>
      </c>
      <c r="G555" s="1">
        <v>135</v>
      </c>
      <c r="H555" s="1">
        <v>2.5996999999999999</v>
      </c>
      <c r="I555" s="1">
        <v>0.703704</v>
      </c>
      <c r="J555" s="1">
        <v>1829.4186669999999</v>
      </c>
      <c r="K555" s="1">
        <v>0.04</v>
      </c>
      <c r="L555" s="1">
        <v>351.43549999999999</v>
      </c>
      <c r="M555" s="1" t="s">
        <v>31</v>
      </c>
      <c r="N555" s="1" t="s">
        <v>31</v>
      </c>
      <c r="O555" s="1" t="s">
        <v>31</v>
      </c>
      <c r="P555" s="2">
        <f t="shared" si="16"/>
        <v>1.1381889422098792E-4</v>
      </c>
      <c r="Q555" s="2">
        <f t="shared" si="17"/>
        <v>6174.2879999999996</v>
      </c>
    </row>
    <row r="556" spans="1:17" ht="12.5" x14ac:dyDescent="0.25">
      <c r="A556" s="1" t="s">
        <v>87</v>
      </c>
      <c r="B556" s="1" t="s">
        <v>16</v>
      </c>
      <c r="C556" s="1" t="s">
        <v>40</v>
      </c>
      <c r="D556" s="1" t="s">
        <v>41</v>
      </c>
      <c r="E556" s="1">
        <v>111.531099</v>
      </c>
      <c r="F556" s="1">
        <v>83</v>
      </c>
      <c r="G556" s="1">
        <v>116</v>
      </c>
      <c r="H556" s="1">
        <v>1.3437479999999999</v>
      </c>
      <c r="I556" s="1">
        <v>0.71551699999999996</v>
      </c>
      <c r="J556" s="1">
        <v>961.47499100000005</v>
      </c>
      <c r="K556" s="1">
        <v>0</v>
      </c>
      <c r="L556" s="1">
        <v>0</v>
      </c>
      <c r="M556" s="1" t="s">
        <v>31</v>
      </c>
      <c r="N556" s="1" t="s">
        <v>31</v>
      </c>
      <c r="O556" s="1" t="s">
        <v>31</v>
      </c>
      <c r="P556" s="2">
        <f t="shared" si="16"/>
        <v>0</v>
      </c>
      <c r="Q556" s="2">
        <f t="shared" si="17"/>
        <v>0</v>
      </c>
    </row>
    <row r="557" spans="1:17" ht="12.5" x14ac:dyDescent="0.25">
      <c r="A557" s="1" t="s">
        <v>88</v>
      </c>
      <c r="B557" s="1" t="s">
        <v>16</v>
      </c>
      <c r="C557" s="1" t="s">
        <v>40</v>
      </c>
      <c r="D557" s="1" t="s">
        <v>41</v>
      </c>
      <c r="E557" s="1">
        <v>191.310971</v>
      </c>
      <c r="F557" s="1">
        <v>73</v>
      </c>
      <c r="G557" s="1">
        <v>118</v>
      </c>
      <c r="H557" s="1">
        <v>2.620698</v>
      </c>
      <c r="I557" s="1">
        <v>0.61864399999999997</v>
      </c>
      <c r="J557" s="1">
        <v>1621.279415</v>
      </c>
      <c r="K557" s="1">
        <v>0</v>
      </c>
      <c r="L557" s="1">
        <v>0</v>
      </c>
      <c r="M557" s="1" t="s">
        <v>31</v>
      </c>
      <c r="N557" s="1" t="s">
        <v>31</v>
      </c>
      <c r="O557" s="1" t="s">
        <v>31</v>
      </c>
      <c r="P557" s="2">
        <f t="shared" si="16"/>
        <v>0</v>
      </c>
      <c r="Q557" s="2">
        <f t="shared" si="17"/>
        <v>0</v>
      </c>
    </row>
    <row r="558" spans="1:17" ht="12.5" x14ac:dyDescent="0.25">
      <c r="A558" s="1" t="s">
        <v>89</v>
      </c>
      <c r="B558" s="1" t="s">
        <v>16</v>
      </c>
      <c r="C558" s="1" t="s">
        <v>40</v>
      </c>
      <c r="D558" s="1" t="s">
        <v>41</v>
      </c>
      <c r="E558" s="1">
        <v>214.99208899999999</v>
      </c>
      <c r="F558" s="1">
        <v>76</v>
      </c>
      <c r="G558" s="1">
        <v>108</v>
      </c>
      <c r="H558" s="1">
        <v>2.828843</v>
      </c>
      <c r="I558" s="1">
        <v>0.703704</v>
      </c>
      <c r="J558" s="1">
        <v>1990.6674909999999</v>
      </c>
      <c r="K558" s="1">
        <v>1</v>
      </c>
      <c r="L558" s="1">
        <v>6600</v>
      </c>
      <c r="M558" s="1" t="s">
        <v>31</v>
      </c>
      <c r="N558" s="1" t="s">
        <v>31</v>
      </c>
      <c r="O558" s="1" t="s">
        <v>31</v>
      </c>
      <c r="P558" s="2">
        <f t="shared" si="16"/>
        <v>1.5151515151515152E-4</v>
      </c>
      <c r="Q558" s="2">
        <f t="shared" si="17"/>
        <v>214.99208899999999</v>
      </c>
    </row>
    <row r="559" spans="1:17" ht="12.5" x14ac:dyDescent="0.25">
      <c r="A559" s="1" t="s">
        <v>90</v>
      </c>
      <c r="B559" s="1" t="s">
        <v>16</v>
      </c>
      <c r="C559" s="1" t="s">
        <v>40</v>
      </c>
      <c r="D559" s="1" t="s">
        <v>41</v>
      </c>
      <c r="E559" s="1">
        <v>262.93422700000002</v>
      </c>
      <c r="F559" s="1">
        <v>60</v>
      </c>
      <c r="G559" s="1">
        <v>94</v>
      </c>
      <c r="H559" s="1">
        <v>4.3822369999999999</v>
      </c>
      <c r="I559" s="1">
        <v>0.63829800000000003</v>
      </c>
      <c r="J559" s="1">
        <v>2797.1726279999998</v>
      </c>
      <c r="K559" s="1">
        <v>1</v>
      </c>
      <c r="L559" s="1">
        <v>12870</v>
      </c>
      <c r="M559" s="1" t="s">
        <v>31</v>
      </c>
      <c r="N559" s="1" t="s">
        <v>31</v>
      </c>
      <c r="O559" s="1" t="s">
        <v>31</v>
      </c>
      <c r="P559" s="2">
        <f t="shared" si="16"/>
        <v>7.77000777000777E-5</v>
      </c>
      <c r="Q559" s="2">
        <f t="shared" si="17"/>
        <v>262.93422700000002</v>
      </c>
    </row>
    <row r="560" spans="1:17" ht="12.5" x14ac:dyDescent="0.25">
      <c r="A560" s="1" t="s">
        <v>91</v>
      </c>
      <c r="B560" s="1" t="s">
        <v>16</v>
      </c>
      <c r="C560" s="1" t="s">
        <v>40</v>
      </c>
      <c r="D560" s="1" t="s">
        <v>41</v>
      </c>
      <c r="E560" s="1">
        <v>179.67695000000001</v>
      </c>
      <c r="F560" s="1">
        <v>68</v>
      </c>
      <c r="G560" s="1">
        <v>122</v>
      </c>
      <c r="H560" s="1">
        <v>2.6423079999999999</v>
      </c>
      <c r="I560" s="1">
        <v>0.55737700000000001</v>
      </c>
      <c r="J560" s="1">
        <v>1472.7618849999999</v>
      </c>
      <c r="K560" s="1">
        <v>0</v>
      </c>
      <c r="L560" s="1">
        <v>0</v>
      </c>
      <c r="M560" s="1" t="s">
        <v>31</v>
      </c>
      <c r="N560" s="1" t="s">
        <v>31</v>
      </c>
      <c r="O560" s="1" t="s">
        <v>31</v>
      </c>
      <c r="P560" s="2">
        <f t="shared" si="16"/>
        <v>0</v>
      </c>
      <c r="Q560" s="2">
        <f t="shared" si="17"/>
        <v>0</v>
      </c>
    </row>
    <row r="561" spans="1:17" ht="12.5" x14ac:dyDescent="0.25">
      <c r="A561" s="1" t="s">
        <v>92</v>
      </c>
      <c r="B561" s="1" t="s">
        <v>16</v>
      </c>
      <c r="C561" s="1" t="s">
        <v>40</v>
      </c>
      <c r="D561" s="1" t="s">
        <v>41</v>
      </c>
      <c r="E561" s="1">
        <v>325.05600399999997</v>
      </c>
      <c r="F561" s="1">
        <v>60</v>
      </c>
      <c r="G561" s="1">
        <v>94</v>
      </c>
      <c r="H561" s="1">
        <v>5.4176000000000002</v>
      </c>
      <c r="I561" s="1">
        <v>0.63829800000000003</v>
      </c>
      <c r="J561" s="1">
        <v>3458.0425959999998</v>
      </c>
      <c r="K561" s="1">
        <v>0</v>
      </c>
      <c r="L561" s="1">
        <v>0</v>
      </c>
      <c r="M561" s="1" t="s">
        <v>31</v>
      </c>
      <c r="N561" s="1" t="s">
        <v>31</v>
      </c>
      <c r="O561" s="1" t="s">
        <v>31</v>
      </c>
      <c r="P561" s="2">
        <f t="shared" si="16"/>
        <v>0</v>
      </c>
      <c r="Q561" s="2">
        <f t="shared" si="17"/>
        <v>0</v>
      </c>
    </row>
    <row r="562" spans="1:17" ht="12.5" x14ac:dyDescent="0.25">
      <c r="A562" s="1" t="s">
        <v>93</v>
      </c>
      <c r="B562" s="1" t="s">
        <v>16</v>
      </c>
      <c r="C562" s="1" t="s">
        <v>40</v>
      </c>
      <c r="D562" s="1" t="s">
        <v>41</v>
      </c>
      <c r="E562" s="1">
        <v>103.997809</v>
      </c>
      <c r="F562" s="1">
        <v>42</v>
      </c>
      <c r="G562" s="1">
        <v>86</v>
      </c>
      <c r="H562" s="1">
        <v>2.4761380000000002</v>
      </c>
      <c r="I562" s="1">
        <v>0.48837199999999997</v>
      </c>
      <c r="J562" s="1">
        <v>1209.2768490000001</v>
      </c>
      <c r="K562" s="1">
        <v>0</v>
      </c>
      <c r="L562" s="1">
        <v>0</v>
      </c>
      <c r="M562" s="1" t="s">
        <v>31</v>
      </c>
      <c r="N562" s="1" t="s">
        <v>31</v>
      </c>
      <c r="O562" s="1" t="s">
        <v>31</v>
      </c>
      <c r="P562" s="2">
        <f t="shared" si="16"/>
        <v>0</v>
      </c>
      <c r="Q562" s="2">
        <f t="shared" si="17"/>
        <v>0</v>
      </c>
    </row>
    <row r="563" spans="1:17" ht="12.5" x14ac:dyDescent="0.25">
      <c r="A563" s="1" t="s">
        <v>94</v>
      </c>
      <c r="B563" s="1" t="s">
        <v>16</v>
      </c>
      <c r="C563" s="1" t="s">
        <v>40</v>
      </c>
      <c r="D563" s="1" t="s">
        <v>41</v>
      </c>
      <c r="E563" s="1">
        <v>81.098232999999993</v>
      </c>
      <c r="F563" s="1">
        <v>36</v>
      </c>
      <c r="G563" s="1">
        <v>57</v>
      </c>
      <c r="H563" s="1">
        <v>2.252729</v>
      </c>
      <c r="I563" s="1">
        <v>0.631579</v>
      </c>
      <c r="J563" s="1">
        <v>1422.776018</v>
      </c>
      <c r="K563" s="1">
        <v>0</v>
      </c>
      <c r="L563" s="1">
        <v>0</v>
      </c>
      <c r="M563" s="1" t="s">
        <v>31</v>
      </c>
      <c r="N563" s="1" t="s">
        <v>31</v>
      </c>
      <c r="O563" s="1" t="s">
        <v>31</v>
      </c>
      <c r="P563" s="2">
        <f t="shared" si="16"/>
        <v>0</v>
      </c>
      <c r="Q563" s="2">
        <f t="shared" si="17"/>
        <v>0</v>
      </c>
    </row>
    <row r="564" spans="1:17" ht="12.5" x14ac:dyDescent="0.25">
      <c r="A564" s="1" t="s">
        <v>95</v>
      </c>
      <c r="B564" s="1" t="s">
        <v>16</v>
      </c>
      <c r="C564" s="1" t="s">
        <v>40</v>
      </c>
      <c r="D564" s="1" t="s">
        <v>41</v>
      </c>
      <c r="E564" s="1">
        <v>119.067165</v>
      </c>
      <c r="F564" s="1">
        <v>40</v>
      </c>
      <c r="G564" s="1">
        <v>79</v>
      </c>
      <c r="H564" s="1">
        <v>2.9766789999999999</v>
      </c>
      <c r="I564" s="1">
        <v>0.50632900000000003</v>
      </c>
      <c r="J564" s="1">
        <v>1507.179304</v>
      </c>
      <c r="K564" s="1">
        <v>7</v>
      </c>
      <c r="L564" s="1">
        <v>97690</v>
      </c>
      <c r="M564" s="1" t="s">
        <v>31</v>
      </c>
      <c r="N564" s="1" t="s">
        <v>31</v>
      </c>
      <c r="O564" s="1" t="s">
        <v>31</v>
      </c>
      <c r="P564" s="2">
        <f t="shared" si="16"/>
        <v>7.1655235950455521E-5</v>
      </c>
      <c r="Q564" s="2">
        <f t="shared" si="17"/>
        <v>17.009595000000001</v>
      </c>
    </row>
    <row r="565" spans="1:17" ht="12.5" x14ac:dyDescent="0.25">
      <c r="A565" s="1" t="s">
        <v>96</v>
      </c>
      <c r="B565" s="1" t="s">
        <v>16</v>
      </c>
      <c r="C565" s="1" t="s">
        <v>40</v>
      </c>
      <c r="D565" s="1" t="s">
        <v>41</v>
      </c>
      <c r="E565" s="1">
        <v>23.240264</v>
      </c>
      <c r="F565" s="1">
        <v>39</v>
      </c>
      <c r="G565" s="1">
        <v>83</v>
      </c>
      <c r="H565" s="1">
        <v>0.59590399999999999</v>
      </c>
      <c r="I565" s="1">
        <v>0.46988000000000002</v>
      </c>
      <c r="J565" s="1">
        <v>280.00318099999998</v>
      </c>
      <c r="K565" s="1">
        <v>3</v>
      </c>
      <c r="L565" s="1">
        <v>29354.5</v>
      </c>
      <c r="M565" s="1" t="s">
        <v>31</v>
      </c>
      <c r="N565" s="1" t="s">
        <v>31</v>
      </c>
      <c r="O565" s="1" t="s">
        <v>31</v>
      </c>
      <c r="P565" s="2">
        <f t="shared" si="16"/>
        <v>1.0219898141681854E-4</v>
      </c>
      <c r="Q565" s="2">
        <f t="shared" si="17"/>
        <v>7.7467546666666669</v>
      </c>
    </row>
    <row r="566" spans="1:17" ht="12.5" x14ac:dyDescent="0.25">
      <c r="A566" s="1" t="s">
        <v>97</v>
      </c>
      <c r="B566" s="1" t="s">
        <v>16</v>
      </c>
      <c r="C566" s="1" t="s">
        <v>40</v>
      </c>
      <c r="D566" s="1" t="s">
        <v>41</v>
      </c>
      <c r="E566" s="1">
        <v>599.09066700000005</v>
      </c>
      <c r="F566" s="1">
        <v>52</v>
      </c>
      <c r="G566" s="1">
        <v>76</v>
      </c>
      <c r="H566" s="1">
        <v>11.520974000000001</v>
      </c>
      <c r="I566" s="1">
        <v>0.68421100000000001</v>
      </c>
      <c r="J566" s="1">
        <v>7882.7719340000003</v>
      </c>
      <c r="K566" s="1">
        <v>0</v>
      </c>
      <c r="L566" s="1">
        <v>0</v>
      </c>
      <c r="M566" s="1" t="s">
        <v>31</v>
      </c>
      <c r="N566" s="1" t="s">
        <v>31</v>
      </c>
      <c r="O566" s="1" t="s">
        <v>31</v>
      </c>
      <c r="P566" s="2">
        <f t="shared" si="16"/>
        <v>0</v>
      </c>
      <c r="Q566" s="2">
        <f t="shared" si="17"/>
        <v>0</v>
      </c>
    </row>
    <row r="567" spans="1:17" ht="12.5" x14ac:dyDescent="0.25">
      <c r="A567" s="1" t="s">
        <v>98</v>
      </c>
      <c r="B567" s="1" t="s">
        <v>16</v>
      </c>
      <c r="C567" s="1" t="s">
        <v>40</v>
      </c>
      <c r="D567" s="1" t="s">
        <v>41</v>
      </c>
      <c r="E567" s="1">
        <v>581.09534799999994</v>
      </c>
      <c r="F567" s="1">
        <v>40</v>
      </c>
      <c r="G567" s="1">
        <v>74</v>
      </c>
      <c r="H567" s="1">
        <v>14.527384</v>
      </c>
      <c r="I567" s="1">
        <v>0.54054100000000005</v>
      </c>
      <c r="J567" s="1">
        <v>7852.6398380000001</v>
      </c>
      <c r="K567" s="1">
        <v>0</v>
      </c>
      <c r="L567" s="1">
        <v>0</v>
      </c>
      <c r="M567" s="1" t="s">
        <v>31</v>
      </c>
      <c r="N567" s="1" t="s">
        <v>31</v>
      </c>
      <c r="O567" s="1" t="s">
        <v>31</v>
      </c>
      <c r="P567" s="2">
        <f t="shared" si="16"/>
        <v>0</v>
      </c>
      <c r="Q567" s="2">
        <f t="shared" si="17"/>
        <v>0</v>
      </c>
    </row>
    <row r="568" spans="1:17" ht="12.5" x14ac:dyDescent="0.25">
      <c r="A568" s="1" t="s">
        <v>99</v>
      </c>
      <c r="B568" s="1" t="s">
        <v>16</v>
      </c>
      <c r="C568" s="1" t="s">
        <v>40</v>
      </c>
      <c r="D568" s="1" t="s">
        <v>41</v>
      </c>
      <c r="E568" s="1">
        <v>754.68914199999995</v>
      </c>
      <c r="F568" s="1">
        <v>66</v>
      </c>
      <c r="G568" s="1">
        <v>110</v>
      </c>
      <c r="H568" s="1">
        <v>11.434684000000001</v>
      </c>
      <c r="I568" s="1">
        <v>0.6</v>
      </c>
      <c r="J568" s="1">
        <v>6860.8103819999997</v>
      </c>
      <c r="K568" s="1">
        <v>0</v>
      </c>
      <c r="L568" s="1">
        <v>0</v>
      </c>
      <c r="M568" s="1" t="s">
        <v>31</v>
      </c>
      <c r="N568" s="1" t="s">
        <v>31</v>
      </c>
      <c r="O568" s="1" t="s">
        <v>31</v>
      </c>
      <c r="P568" s="2">
        <f t="shared" si="16"/>
        <v>0</v>
      </c>
      <c r="Q568" s="2">
        <f t="shared" si="17"/>
        <v>0</v>
      </c>
    </row>
    <row r="569" spans="1:17" ht="12.5" x14ac:dyDescent="0.25">
      <c r="A569" s="1" t="s">
        <v>100</v>
      </c>
      <c r="B569" s="1" t="s">
        <v>16</v>
      </c>
      <c r="C569" s="1" t="s">
        <v>40</v>
      </c>
      <c r="D569" s="1" t="s">
        <v>41</v>
      </c>
      <c r="E569" s="1">
        <v>393.18355100000002</v>
      </c>
      <c r="F569" s="1">
        <v>45</v>
      </c>
      <c r="G569" s="1">
        <v>72</v>
      </c>
      <c r="H569" s="1">
        <v>8.7374120000000008</v>
      </c>
      <c r="I569" s="1">
        <v>0.625</v>
      </c>
      <c r="J569" s="1">
        <v>5460.8826529999997</v>
      </c>
      <c r="K569" s="1">
        <v>0.04</v>
      </c>
      <c r="L569" s="1">
        <v>351.43549999999999</v>
      </c>
      <c r="M569" s="1" t="s">
        <v>31</v>
      </c>
      <c r="N569" s="1" t="s">
        <v>31</v>
      </c>
      <c r="O569" s="1" t="s">
        <v>31</v>
      </c>
      <c r="P569" s="2">
        <f t="shared" si="16"/>
        <v>1.1381889422098792E-4</v>
      </c>
      <c r="Q569" s="2">
        <f t="shared" si="17"/>
        <v>9829.5887750000002</v>
      </c>
    </row>
    <row r="570" spans="1:17" ht="12.5" x14ac:dyDescent="0.25">
      <c r="A570" s="1" t="s">
        <v>101</v>
      </c>
      <c r="B570" s="1" t="s">
        <v>16</v>
      </c>
      <c r="C570" s="1" t="s">
        <v>40</v>
      </c>
      <c r="D570" s="1" t="s">
        <v>41</v>
      </c>
      <c r="E570" s="1">
        <v>680.55573500000003</v>
      </c>
      <c r="F570" s="1">
        <v>37</v>
      </c>
      <c r="G570" s="1">
        <v>62</v>
      </c>
      <c r="H570" s="1">
        <v>18.393398000000001</v>
      </c>
      <c r="I570" s="1">
        <v>0.59677400000000003</v>
      </c>
      <c r="J570" s="1">
        <v>10976.705400000001</v>
      </c>
      <c r="K570" s="1">
        <v>0</v>
      </c>
      <c r="L570" s="1">
        <v>0</v>
      </c>
      <c r="M570" s="1" t="s">
        <v>31</v>
      </c>
      <c r="N570" s="1" t="s">
        <v>31</v>
      </c>
      <c r="O570" s="1" t="s">
        <v>31</v>
      </c>
      <c r="P570" s="2">
        <f t="shared" si="16"/>
        <v>0</v>
      </c>
      <c r="Q570" s="2">
        <f t="shared" si="17"/>
        <v>0</v>
      </c>
    </row>
    <row r="571" spans="1:17" ht="12.5" x14ac:dyDescent="0.25">
      <c r="A571" s="1" t="s">
        <v>102</v>
      </c>
      <c r="B571" s="1" t="s">
        <v>16</v>
      </c>
      <c r="C571" s="1" t="s">
        <v>40</v>
      </c>
      <c r="D571" s="1" t="s">
        <v>41</v>
      </c>
      <c r="E571" s="1">
        <v>324.98886599999997</v>
      </c>
      <c r="F571" s="1">
        <v>43</v>
      </c>
      <c r="G571" s="1">
        <v>78</v>
      </c>
      <c r="H571" s="1">
        <v>7.5578810000000001</v>
      </c>
      <c r="I571" s="1">
        <v>0.55128200000000005</v>
      </c>
      <c r="J571" s="1">
        <v>4166.5239229999997</v>
      </c>
      <c r="K571" s="1">
        <v>0</v>
      </c>
      <c r="L571" s="1">
        <v>0</v>
      </c>
      <c r="M571" s="1" t="s">
        <v>31</v>
      </c>
      <c r="N571" s="1" t="s">
        <v>31</v>
      </c>
      <c r="O571" s="1" t="s">
        <v>31</v>
      </c>
      <c r="P571" s="2">
        <f t="shared" si="16"/>
        <v>0</v>
      </c>
      <c r="Q571" s="2">
        <f t="shared" si="17"/>
        <v>0</v>
      </c>
    </row>
    <row r="572" spans="1:17" ht="12.5" x14ac:dyDescent="0.25">
      <c r="A572" s="1" t="s">
        <v>92</v>
      </c>
      <c r="B572" s="1" t="s">
        <v>16</v>
      </c>
      <c r="C572" s="1" t="s">
        <v>67</v>
      </c>
      <c r="D572" s="1" t="s">
        <v>41</v>
      </c>
      <c r="E572" s="1">
        <v>1002.709113</v>
      </c>
      <c r="F572" s="1">
        <v>590</v>
      </c>
      <c r="G572" s="1">
        <v>13937</v>
      </c>
      <c r="H572" s="1">
        <v>1.6995070000000001</v>
      </c>
      <c r="I572" s="1">
        <v>4.2333000000000003E-2</v>
      </c>
      <c r="J572" s="1">
        <v>71.945836</v>
      </c>
      <c r="K572" s="1">
        <v>0</v>
      </c>
      <c r="L572" s="1">
        <v>0</v>
      </c>
      <c r="M572" s="1" t="s">
        <v>31</v>
      </c>
      <c r="N572" s="1" t="s">
        <v>31</v>
      </c>
      <c r="O572" s="1" t="s">
        <v>31</v>
      </c>
      <c r="P572" s="2">
        <f t="shared" si="16"/>
        <v>0</v>
      </c>
      <c r="Q572" s="2">
        <f t="shared" si="17"/>
        <v>0</v>
      </c>
    </row>
    <row r="573" spans="1:17" ht="12.5" x14ac:dyDescent="0.25">
      <c r="A573" s="1" t="s">
        <v>93</v>
      </c>
      <c r="B573" s="1" t="s">
        <v>16</v>
      </c>
      <c r="C573" s="1" t="s">
        <v>67</v>
      </c>
      <c r="D573" s="1" t="s">
        <v>41</v>
      </c>
      <c r="E573" s="1">
        <v>973.615681</v>
      </c>
      <c r="F573" s="1">
        <v>167</v>
      </c>
      <c r="G573" s="1">
        <v>9195</v>
      </c>
      <c r="H573" s="1">
        <v>5.8300340000000004</v>
      </c>
      <c r="I573" s="1">
        <v>1.8162000000000001E-2</v>
      </c>
      <c r="J573" s="1">
        <v>105.885338</v>
      </c>
      <c r="K573" s="1">
        <v>0</v>
      </c>
      <c r="L573" s="1">
        <v>0</v>
      </c>
      <c r="M573" s="1" t="s">
        <v>31</v>
      </c>
      <c r="N573" s="1" t="s">
        <v>31</v>
      </c>
      <c r="O573" s="1" t="s">
        <v>31</v>
      </c>
      <c r="P573" s="2">
        <f t="shared" si="16"/>
        <v>0</v>
      </c>
      <c r="Q573" s="2">
        <f t="shared" si="17"/>
        <v>0</v>
      </c>
    </row>
    <row r="574" spans="1:17" ht="12.5" x14ac:dyDescent="0.25">
      <c r="A574" s="1" t="s">
        <v>94</v>
      </c>
      <c r="B574" s="1" t="s">
        <v>16</v>
      </c>
      <c r="C574" s="1" t="s">
        <v>67</v>
      </c>
      <c r="D574" s="1" t="s">
        <v>41</v>
      </c>
      <c r="E574" s="1">
        <v>1032.126389</v>
      </c>
      <c r="F574" s="1">
        <v>119</v>
      </c>
      <c r="G574" s="1">
        <v>6035</v>
      </c>
      <c r="H574" s="1">
        <v>8.6733309999999992</v>
      </c>
      <c r="I574" s="1">
        <v>1.9717999999999999E-2</v>
      </c>
      <c r="J574" s="1">
        <v>171.023428</v>
      </c>
      <c r="K574" s="1">
        <v>0</v>
      </c>
      <c r="L574" s="1">
        <v>0</v>
      </c>
      <c r="M574" s="1" t="s">
        <v>31</v>
      </c>
      <c r="N574" s="1" t="s">
        <v>31</v>
      </c>
      <c r="O574" s="1" t="s">
        <v>31</v>
      </c>
      <c r="P574" s="2">
        <f t="shared" si="16"/>
        <v>0</v>
      </c>
      <c r="Q574" s="2">
        <f t="shared" si="17"/>
        <v>0</v>
      </c>
    </row>
    <row r="575" spans="1:17" ht="12.5" x14ac:dyDescent="0.25">
      <c r="A575" s="1" t="s">
        <v>95</v>
      </c>
      <c r="B575" s="1" t="s">
        <v>16</v>
      </c>
      <c r="C575" s="1" t="s">
        <v>67</v>
      </c>
      <c r="D575" s="1" t="s">
        <v>41</v>
      </c>
      <c r="E575" s="1">
        <v>1001.419112</v>
      </c>
      <c r="F575" s="1">
        <v>191</v>
      </c>
      <c r="G575" s="1">
        <v>6644</v>
      </c>
      <c r="H575" s="1">
        <v>5.2430320000000004</v>
      </c>
      <c r="I575" s="1">
        <v>2.8747999999999999E-2</v>
      </c>
      <c r="J575" s="1">
        <v>150.72533300000001</v>
      </c>
      <c r="K575" s="1">
        <v>0</v>
      </c>
      <c r="L575" s="1">
        <v>0</v>
      </c>
      <c r="M575" s="1" t="s">
        <v>31</v>
      </c>
      <c r="N575" s="1" t="s">
        <v>31</v>
      </c>
      <c r="O575" s="1" t="s">
        <v>31</v>
      </c>
      <c r="P575" s="2">
        <f t="shared" si="16"/>
        <v>0</v>
      </c>
      <c r="Q575" s="2">
        <f t="shared" si="17"/>
        <v>0</v>
      </c>
    </row>
    <row r="576" spans="1:17" ht="12.5" x14ac:dyDescent="0.25">
      <c r="A576" s="1" t="s">
        <v>96</v>
      </c>
      <c r="B576" s="1" t="s">
        <v>16</v>
      </c>
      <c r="C576" s="1" t="s">
        <v>67</v>
      </c>
      <c r="D576" s="1" t="s">
        <v>41</v>
      </c>
      <c r="E576" s="1">
        <v>1152.4030780000001</v>
      </c>
      <c r="F576" s="1">
        <v>275</v>
      </c>
      <c r="G576" s="1">
        <v>1436</v>
      </c>
      <c r="H576" s="1">
        <v>4.1905570000000001</v>
      </c>
      <c r="I576" s="1">
        <v>0.19150400000000001</v>
      </c>
      <c r="J576" s="1">
        <v>802.50910699999997</v>
      </c>
      <c r="K576" s="1">
        <v>13</v>
      </c>
      <c r="L576" s="1">
        <v>220118.39999999999</v>
      </c>
      <c r="M576" s="1" t="s">
        <v>31</v>
      </c>
      <c r="N576" s="1" t="s">
        <v>31</v>
      </c>
      <c r="O576" s="1" t="s">
        <v>31</v>
      </c>
      <c r="P576" s="2">
        <f t="shared" si="16"/>
        <v>5.9059124543881838E-5</v>
      </c>
      <c r="Q576" s="2">
        <f t="shared" si="17"/>
        <v>88.646390615384618</v>
      </c>
    </row>
    <row r="577" spans="1:17" ht="12.5" x14ac:dyDescent="0.25">
      <c r="A577" s="1" t="s">
        <v>97</v>
      </c>
      <c r="B577" s="1" t="s">
        <v>16</v>
      </c>
      <c r="C577" s="1" t="s">
        <v>67</v>
      </c>
      <c r="D577" s="1" t="s">
        <v>41</v>
      </c>
      <c r="E577" s="1">
        <v>230.99427900000001</v>
      </c>
      <c r="F577" s="1">
        <v>104</v>
      </c>
      <c r="G577" s="1">
        <v>4286</v>
      </c>
      <c r="H577" s="1">
        <v>2.2210990000000002</v>
      </c>
      <c r="I577" s="1">
        <v>2.4264999999999998E-2</v>
      </c>
      <c r="J577" s="1">
        <v>53.895071999999999</v>
      </c>
      <c r="K577" s="1">
        <v>0</v>
      </c>
      <c r="L577" s="1">
        <v>0</v>
      </c>
      <c r="M577" s="1" t="s">
        <v>31</v>
      </c>
      <c r="N577" s="1" t="s">
        <v>31</v>
      </c>
      <c r="O577" s="1" t="s">
        <v>31</v>
      </c>
      <c r="P577" s="2">
        <f t="shared" si="16"/>
        <v>0</v>
      </c>
      <c r="Q577" s="2">
        <f t="shared" si="17"/>
        <v>0</v>
      </c>
    </row>
    <row r="578" spans="1:17" ht="12.5" x14ac:dyDescent="0.25">
      <c r="A578" s="1" t="s">
        <v>98</v>
      </c>
      <c r="B578" s="1" t="s">
        <v>16</v>
      </c>
      <c r="C578" s="1" t="s">
        <v>67</v>
      </c>
      <c r="D578" s="1" t="s">
        <v>41</v>
      </c>
      <c r="E578" s="1">
        <v>1611.0929100000001</v>
      </c>
      <c r="F578" s="1">
        <v>400</v>
      </c>
      <c r="G578" s="1">
        <v>18465</v>
      </c>
      <c r="H578" s="1">
        <v>4.0277320000000003</v>
      </c>
      <c r="I578" s="1">
        <v>2.1663000000000002E-2</v>
      </c>
      <c r="J578" s="1">
        <v>87.251172999999994</v>
      </c>
      <c r="K578" s="1">
        <v>0</v>
      </c>
      <c r="L578" s="1">
        <v>0</v>
      </c>
      <c r="M578" s="1" t="s">
        <v>31</v>
      </c>
      <c r="N578" s="1" t="s">
        <v>31</v>
      </c>
      <c r="O578" s="1" t="s">
        <v>31</v>
      </c>
      <c r="P578" s="2">
        <f t="shared" si="16"/>
        <v>0</v>
      </c>
      <c r="Q578" s="2">
        <f t="shared" si="17"/>
        <v>0</v>
      </c>
    </row>
    <row r="579" spans="1:17" ht="12.5" x14ac:dyDescent="0.25">
      <c r="A579" s="1" t="s">
        <v>99</v>
      </c>
      <c r="B579" s="1" t="s">
        <v>16</v>
      </c>
      <c r="C579" s="1" t="s">
        <v>67</v>
      </c>
      <c r="D579" s="1" t="s">
        <v>41</v>
      </c>
      <c r="E579" s="1">
        <v>1133.310616</v>
      </c>
      <c r="F579" s="1">
        <v>231</v>
      </c>
      <c r="G579" s="1">
        <v>10986</v>
      </c>
      <c r="H579" s="1">
        <v>4.9061070000000004</v>
      </c>
      <c r="I579" s="1">
        <v>2.1027000000000001E-2</v>
      </c>
      <c r="J579" s="1">
        <v>103.159532</v>
      </c>
      <c r="K579" s="1">
        <v>1</v>
      </c>
      <c r="L579" s="1">
        <v>4200</v>
      </c>
      <c r="M579" s="1" t="s">
        <v>31</v>
      </c>
      <c r="N579" s="1" t="s">
        <v>31</v>
      </c>
      <c r="O579" s="1" t="s">
        <v>31</v>
      </c>
      <c r="P579" s="2">
        <f t="shared" ref="P579:P642" si="18">IFERROR(K579/ L579, 0)</f>
        <v>2.380952380952381E-4</v>
      </c>
      <c r="Q579" s="2">
        <f t="shared" ref="Q579:Q642" si="19">IFERROR(E579/K579, 0)</f>
        <v>1133.310616</v>
      </c>
    </row>
    <row r="580" spans="1:17" ht="12.5" x14ac:dyDescent="0.25">
      <c r="A580" s="1" t="s">
        <v>100</v>
      </c>
      <c r="B580" s="1" t="s">
        <v>16</v>
      </c>
      <c r="C580" s="1" t="s">
        <v>67</v>
      </c>
      <c r="D580" s="1" t="s">
        <v>41</v>
      </c>
      <c r="E580" s="1">
        <v>764.67174399999999</v>
      </c>
      <c r="F580" s="1">
        <v>237</v>
      </c>
      <c r="G580" s="1">
        <v>10029</v>
      </c>
      <c r="H580" s="1">
        <v>3.2264629999999999</v>
      </c>
      <c r="I580" s="1">
        <v>2.3630999999999999E-2</v>
      </c>
      <c r="J580" s="1">
        <v>76.246060999999997</v>
      </c>
      <c r="K580" s="1">
        <v>0</v>
      </c>
      <c r="L580" s="1">
        <v>0</v>
      </c>
      <c r="M580" s="1" t="s">
        <v>31</v>
      </c>
      <c r="N580" s="1" t="s">
        <v>31</v>
      </c>
      <c r="O580" s="1" t="s">
        <v>31</v>
      </c>
      <c r="P580" s="2">
        <f t="shared" si="18"/>
        <v>0</v>
      </c>
      <c r="Q580" s="2">
        <f t="shared" si="19"/>
        <v>0</v>
      </c>
    </row>
    <row r="581" spans="1:17" ht="12.5" x14ac:dyDescent="0.25">
      <c r="A581" s="1" t="s">
        <v>101</v>
      </c>
      <c r="B581" s="1" t="s">
        <v>16</v>
      </c>
      <c r="C581" s="1" t="s">
        <v>67</v>
      </c>
      <c r="D581" s="1" t="s">
        <v>41</v>
      </c>
      <c r="E581" s="1">
        <v>1117.78117</v>
      </c>
      <c r="F581" s="1">
        <v>301</v>
      </c>
      <c r="G581" s="1">
        <v>12528</v>
      </c>
      <c r="H581" s="1">
        <v>3.7135590000000001</v>
      </c>
      <c r="I581" s="1">
        <v>2.4025999999999999E-2</v>
      </c>
      <c r="J581" s="1">
        <v>89.222634999999997</v>
      </c>
      <c r="K581" s="1">
        <v>0</v>
      </c>
      <c r="L581" s="1">
        <v>0</v>
      </c>
      <c r="M581" s="1" t="s">
        <v>31</v>
      </c>
      <c r="N581" s="1" t="s">
        <v>31</v>
      </c>
      <c r="O581" s="1" t="s">
        <v>31</v>
      </c>
      <c r="P581" s="2">
        <f t="shared" si="18"/>
        <v>0</v>
      </c>
      <c r="Q581" s="2">
        <f t="shared" si="19"/>
        <v>0</v>
      </c>
    </row>
    <row r="582" spans="1:17" ht="12.5" x14ac:dyDescent="0.25">
      <c r="A582" s="1" t="s">
        <v>102</v>
      </c>
      <c r="B582" s="1" t="s">
        <v>16</v>
      </c>
      <c r="C582" s="1" t="s">
        <v>67</v>
      </c>
      <c r="D582" s="1" t="s">
        <v>41</v>
      </c>
      <c r="E582" s="1">
        <v>903.56658900000002</v>
      </c>
      <c r="F582" s="1">
        <v>356</v>
      </c>
      <c r="G582" s="1">
        <v>13123</v>
      </c>
      <c r="H582" s="1">
        <v>2.5381079999999998</v>
      </c>
      <c r="I582" s="1">
        <v>2.7127999999999999E-2</v>
      </c>
      <c r="J582" s="1">
        <v>68.853661000000002</v>
      </c>
      <c r="K582" s="1">
        <v>0.01</v>
      </c>
      <c r="L582" s="1">
        <v>31.206</v>
      </c>
      <c r="M582" s="1" t="s">
        <v>31</v>
      </c>
      <c r="N582" s="1" t="s">
        <v>31</v>
      </c>
      <c r="O582" s="1" t="s">
        <v>31</v>
      </c>
      <c r="P582" s="2">
        <f t="shared" si="18"/>
        <v>3.204511952829584E-4</v>
      </c>
      <c r="Q582" s="2">
        <f t="shared" si="19"/>
        <v>90356.658899999995</v>
      </c>
    </row>
    <row r="583" spans="1:17" ht="12.5" x14ac:dyDescent="0.25">
      <c r="A583" s="1" t="s">
        <v>103</v>
      </c>
      <c r="B583" s="1" t="s">
        <v>16</v>
      </c>
      <c r="C583" s="1" t="s">
        <v>46</v>
      </c>
      <c r="D583" s="1" t="s">
        <v>41</v>
      </c>
      <c r="E583" s="1">
        <v>3.11</v>
      </c>
      <c r="F583" s="1">
        <v>3</v>
      </c>
      <c r="G583" s="1">
        <v>7</v>
      </c>
      <c r="H583" s="1">
        <v>1.036667</v>
      </c>
      <c r="I583" s="1">
        <v>0.42857099999999998</v>
      </c>
      <c r="J583" s="1">
        <v>444.28571399999998</v>
      </c>
      <c r="K583" s="1">
        <v>0</v>
      </c>
      <c r="L583" s="1">
        <v>0</v>
      </c>
      <c r="M583" s="1" t="s">
        <v>19</v>
      </c>
      <c r="N583" s="1" t="s">
        <v>20</v>
      </c>
      <c r="O583" s="1" t="s">
        <v>20</v>
      </c>
      <c r="P583" s="2">
        <f t="shared" si="18"/>
        <v>0</v>
      </c>
      <c r="Q583" s="2">
        <f t="shared" si="19"/>
        <v>0</v>
      </c>
    </row>
    <row r="584" spans="1:17" ht="12.5" x14ac:dyDescent="0.25">
      <c r="A584" s="1" t="s">
        <v>104</v>
      </c>
      <c r="B584" s="1" t="s">
        <v>16</v>
      </c>
      <c r="C584" s="1" t="s">
        <v>46</v>
      </c>
      <c r="D584" s="1" t="s">
        <v>41</v>
      </c>
      <c r="E584" s="1">
        <v>8.34</v>
      </c>
      <c r="F584" s="1">
        <v>6</v>
      </c>
      <c r="G584" s="1">
        <v>18</v>
      </c>
      <c r="H584" s="1">
        <v>1.39</v>
      </c>
      <c r="I584" s="1">
        <v>0.33333299999999999</v>
      </c>
      <c r="J584" s="1">
        <v>463.33333299999998</v>
      </c>
      <c r="K584" s="1">
        <v>0</v>
      </c>
      <c r="L584" s="1">
        <v>0</v>
      </c>
      <c r="M584" s="1" t="s">
        <v>19</v>
      </c>
      <c r="N584" s="1" t="s">
        <v>20</v>
      </c>
      <c r="O584" s="1" t="s">
        <v>20</v>
      </c>
      <c r="P584" s="2">
        <f t="shared" si="18"/>
        <v>0</v>
      </c>
      <c r="Q584" s="2">
        <f t="shared" si="19"/>
        <v>0</v>
      </c>
    </row>
    <row r="585" spans="1:17" ht="12.5" x14ac:dyDescent="0.25">
      <c r="A585" s="1" t="s">
        <v>105</v>
      </c>
      <c r="B585" s="1" t="s">
        <v>16</v>
      </c>
      <c r="C585" s="1" t="s">
        <v>46</v>
      </c>
      <c r="D585" s="1" t="s">
        <v>41</v>
      </c>
      <c r="E585" s="1">
        <v>321.19646399999999</v>
      </c>
      <c r="F585" s="1">
        <v>11</v>
      </c>
      <c r="G585" s="1">
        <v>28</v>
      </c>
      <c r="H585" s="1">
        <v>29.199679</v>
      </c>
      <c r="I585" s="1">
        <v>0.39285700000000001</v>
      </c>
      <c r="J585" s="1">
        <v>11471.30229</v>
      </c>
      <c r="K585" s="1">
        <v>1</v>
      </c>
      <c r="L585" s="1">
        <v>10560</v>
      </c>
      <c r="M585" s="1" t="s">
        <v>19</v>
      </c>
      <c r="N585" s="1" t="s">
        <v>20</v>
      </c>
      <c r="O585" s="1" t="s">
        <v>20</v>
      </c>
      <c r="P585" s="2">
        <f t="shared" si="18"/>
        <v>9.4696969696969697E-5</v>
      </c>
      <c r="Q585" s="2">
        <f t="shared" si="19"/>
        <v>321.19646399999999</v>
      </c>
    </row>
    <row r="586" spans="1:17" ht="12.5" x14ac:dyDescent="0.25">
      <c r="A586" s="1" t="s">
        <v>106</v>
      </c>
      <c r="B586" s="1" t="s">
        <v>16</v>
      </c>
      <c r="C586" s="1" t="s">
        <v>46</v>
      </c>
      <c r="D586" s="1" t="s">
        <v>41</v>
      </c>
      <c r="E586" s="1">
        <v>145.810641</v>
      </c>
      <c r="F586" s="1">
        <v>17</v>
      </c>
      <c r="G586" s="1">
        <v>29</v>
      </c>
      <c r="H586" s="1">
        <v>8.5770970000000002</v>
      </c>
      <c r="I586" s="1">
        <v>0.58620700000000003</v>
      </c>
      <c r="J586" s="1">
        <v>5027.9531379999999</v>
      </c>
      <c r="K586" s="1">
        <v>0</v>
      </c>
      <c r="L586" s="1">
        <v>0</v>
      </c>
      <c r="M586" s="1" t="s">
        <v>19</v>
      </c>
      <c r="N586" s="1" t="s">
        <v>20</v>
      </c>
      <c r="O586" s="1" t="s">
        <v>20</v>
      </c>
      <c r="P586" s="2">
        <f t="shared" si="18"/>
        <v>0</v>
      </c>
      <c r="Q586" s="2">
        <f t="shared" si="19"/>
        <v>0</v>
      </c>
    </row>
    <row r="587" spans="1:17" ht="12.5" x14ac:dyDescent="0.25">
      <c r="A587" s="1" t="s">
        <v>107</v>
      </c>
      <c r="B587" s="1" t="s">
        <v>16</v>
      </c>
      <c r="C587" s="1" t="s">
        <v>46</v>
      </c>
      <c r="D587" s="1" t="s">
        <v>41</v>
      </c>
      <c r="E587" s="1">
        <v>170.608037</v>
      </c>
      <c r="F587" s="1">
        <v>13</v>
      </c>
      <c r="G587" s="1">
        <v>27</v>
      </c>
      <c r="H587" s="1">
        <v>13.123695</v>
      </c>
      <c r="I587" s="1">
        <v>0.48148099999999999</v>
      </c>
      <c r="J587" s="1">
        <v>6318.8161849999997</v>
      </c>
      <c r="K587" s="1">
        <v>0</v>
      </c>
      <c r="L587" s="1">
        <v>0</v>
      </c>
      <c r="M587" s="1" t="s">
        <v>19</v>
      </c>
      <c r="N587" s="1" t="s">
        <v>20</v>
      </c>
      <c r="O587" s="1" t="s">
        <v>20</v>
      </c>
      <c r="P587" s="2">
        <f t="shared" si="18"/>
        <v>0</v>
      </c>
      <c r="Q587" s="2">
        <f t="shared" si="19"/>
        <v>0</v>
      </c>
    </row>
    <row r="588" spans="1:17" ht="12.5" x14ac:dyDescent="0.25">
      <c r="A588" s="1" t="s">
        <v>108</v>
      </c>
      <c r="B588" s="1" t="s">
        <v>16</v>
      </c>
      <c r="C588" s="1" t="s">
        <v>46</v>
      </c>
      <c r="D588" s="1" t="s">
        <v>41</v>
      </c>
      <c r="E588" s="1">
        <v>210.856843</v>
      </c>
      <c r="F588" s="1">
        <v>8</v>
      </c>
      <c r="G588" s="1">
        <v>23</v>
      </c>
      <c r="H588" s="1">
        <v>26.357105000000001</v>
      </c>
      <c r="I588" s="1">
        <v>0.34782600000000002</v>
      </c>
      <c r="J588" s="1">
        <v>9167.6888259999996</v>
      </c>
      <c r="K588" s="1">
        <v>0</v>
      </c>
      <c r="L588" s="1">
        <v>0</v>
      </c>
      <c r="M588" s="1" t="s">
        <v>19</v>
      </c>
      <c r="N588" s="1" t="s">
        <v>20</v>
      </c>
      <c r="O588" s="1" t="s">
        <v>20</v>
      </c>
      <c r="P588" s="2">
        <f t="shared" si="18"/>
        <v>0</v>
      </c>
      <c r="Q588" s="2">
        <f t="shared" si="19"/>
        <v>0</v>
      </c>
    </row>
    <row r="589" spans="1:17" ht="12.5" x14ac:dyDescent="0.25">
      <c r="A589" s="1" t="s">
        <v>105</v>
      </c>
      <c r="B589" s="1" t="s">
        <v>16</v>
      </c>
      <c r="C589" s="1" t="s">
        <v>66</v>
      </c>
      <c r="D589" s="1" t="s">
        <v>18</v>
      </c>
      <c r="E589" s="1">
        <v>511.48</v>
      </c>
      <c r="F589" s="1">
        <v>62</v>
      </c>
      <c r="G589" s="1">
        <v>3318</v>
      </c>
      <c r="H589" s="1">
        <v>8.2496770000000001</v>
      </c>
      <c r="I589" s="1">
        <v>1.8686000000000001E-2</v>
      </c>
      <c r="J589" s="1">
        <v>154.15310400000001</v>
      </c>
      <c r="K589" s="1">
        <v>0</v>
      </c>
      <c r="L589" s="1">
        <v>0</v>
      </c>
      <c r="M589" s="1" t="s">
        <v>31</v>
      </c>
      <c r="N589" s="1" t="s">
        <v>31</v>
      </c>
      <c r="O589" s="1" t="s">
        <v>31</v>
      </c>
      <c r="P589" s="2">
        <f t="shared" si="18"/>
        <v>0</v>
      </c>
      <c r="Q589" s="2">
        <f t="shared" si="19"/>
        <v>0</v>
      </c>
    </row>
    <row r="590" spans="1:17" ht="12.5" x14ac:dyDescent="0.25">
      <c r="A590" s="1" t="s">
        <v>106</v>
      </c>
      <c r="B590" s="1" t="s">
        <v>16</v>
      </c>
      <c r="C590" s="1" t="s">
        <v>66</v>
      </c>
      <c r="D590" s="1" t="s">
        <v>18</v>
      </c>
      <c r="E590" s="1">
        <v>1013.51</v>
      </c>
      <c r="F590" s="1">
        <v>126</v>
      </c>
      <c r="G590" s="1">
        <v>7105</v>
      </c>
      <c r="H590" s="1">
        <v>8.04373</v>
      </c>
      <c r="I590" s="1">
        <v>1.7734E-2</v>
      </c>
      <c r="J590" s="1">
        <v>142.64743100000001</v>
      </c>
      <c r="K590" s="1">
        <v>0</v>
      </c>
      <c r="L590" s="1">
        <v>0</v>
      </c>
      <c r="M590" s="1" t="s">
        <v>31</v>
      </c>
      <c r="N590" s="1" t="s">
        <v>31</v>
      </c>
      <c r="O590" s="1" t="s">
        <v>31</v>
      </c>
      <c r="P590" s="2">
        <f t="shared" si="18"/>
        <v>0</v>
      </c>
      <c r="Q590" s="2">
        <f t="shared" si="19"/>
        <v>0</v>
      </c>
    </row>
    <row r="591" spans="1:17" ht="12.5" x14ac:dyDescent="0.25">
      <c r="A591" s="1" t="s">
        <v>107</v>
      </c>
      <c r="B591" s="1" t="s">
        <v>16</v>
      </c>
      <c r="C591" s="1" t="s">
        <v>66</v>
      </c>
      <c r="D591" s="1" t="s">
        <v>18</v>
      </c>
      <c r="E591" s="1">
        <v>1013.01</v>
      </c>
      <c r="F591" s="1">
        <v>117</v>
      </c>
      <c r="G591" s="1">
        <v>7096</v>
      </c>
      <c r="H591" s="1">
        <v>8.6582050000000006</v>
      </c>
      <c r="I591" s="1">
        <v>1.6487999999999999E-2</v>
      </c>
      <c r="J591" s="1">
        <v>142.757892</v>
      </c>
      <c r="K591" s="1">
        <v>0</v>
      </c>
      <c r="L591" s="1">
        <v>0</v>
      </c>
      <c r="M591" s="1" t="s">
        <v>31</v>
      </c>
      <c r="N591" s="1" t="s">
        <v>31</v>
      </c>
      <c r="O591" s="1" t="s">
        <v>31</v>
      </c>
      <c r="P591" s="2">
        <f t="shared" si="18"/>
        <v>0</v>
      </c>
      <c r="Q591" s="2">
        <f t="shared" si="19"/>
        <v>0</v>
      </c>
    </row>
    <row r="592" spans="1:17" ht="12.5" x14ac:dyDescent="0.25">
      <c r="A592" s="1" t="s">
        <v>108</v>
      </c>
      <c r="B592" s="1" t="s">
        <v>16</v>
      </c>
      <c r="C592" s="1" t="s">
        <v>66</v>
      </c>
      <c r="D592" s="1" t="s">
        <v>18</v>
      </c>
      <c r="E592" s="1">
        <v>973.43</v>
      </c>
      <c r="F592" s="1">
        <v>97</v>
      </c>
      <c r="G592" s="1">
        <v>7845</v>
      </c>
      <c r="H592" s="1">
        <v>10.035361</v>
      </c>
      <c r="I592" s="1">
        <v>1.2364999999999999E-2</v>
      </c>
      <c r="J592" s="1">
        <v>124.082855</v>
      </c>
      <c r="K592" s="1">
        <v>0</v>
      </c>
      <c r="L592" s="1">
        <v>0</v>
      </c>
      <c r="M592" s="1" t="s">
        <v>31</v>
      </c>
      <c r="N592" s="1" t="s">
        <v>31</v>
      </c>
      <c r="O592" s="1" t="s">
        <v>31</v>
      </c>
      <c r="P592" s="2">
        <f t="shared" si="18"/>
        <v>0</v>
      </c>
      <c r="Q592" s="2">
        <f t="shared" si="19"/>
        <v>0</v>
      </c>
    </row>
    <row r="593" spans="1:17" ht="12.5" x14ac:dyDescent="0.25">
      <c r="A593" s="3">
        <v>46027</v>
      </c>
      <c r="B593" s="1" t="s">
        <v>16</v>
      </c>
      <c r="C593" s="1" t="s">
        <v>40</v>
      </c>
      <c r="D593" s="1" t="s">
        <v>41</v>
      </c>
      <c r="E593" s="1">
        <v>109.716909</v>
      </c>
      <c r="F593" s="1">
        <v>27</v>
      </c>
      <c r="G593" s="1">
        <v>54</v>
      </c>
      <c r="H593" s="1">
        <v>4.0635890000000003</v>
      </c>
      <c r="I593" s="1">
        <v>0.5</v>
      </c>
      <c r="J593" s="1">
        <v>2031.794611</v>
      </c>
      <c r="K593" s="1">
        <v>0</v>
      </c>
      <c r="L593" s="1">
        <v>0</v>
      </c>
      <c r="M593" s="1" t="s">
        <v>31</v>
      </c>
      <c r="N593" s="1" t="s">
        <v>31</v>
      </c>
      <c r="O593" s="1" t="s">
        <v>31</v>
      </c>
      <c r="P593" s="2">
        <f t="shared" si="18"/>
        <v>0</v>
      </c>
      <c r="Q593" s="2">
        <f t="shared" si="19"/>
        <v>0</v>
      </c>
    </row>
    <row r="594" spans="1:17" ht="12.5" x14ac:dyDescent="0.25">
      <c r="A594" s="3">
        <v>46058</v>
      </c>
      <c r="B594" s="1" t="s">
        <v>16</v>
      </c>
      <c r="C594" s="1" t="s">
        <v>40</v>
      </c>
      <c r="D594" s="1" t="s">
        <v>41</v>
      </c>
      <c r="E594" s="1">
        <v>243.77477300000001</v>
      </c>
      <c r="F594" s="1">
        <v>51</v>
      </c>
      <c r="G594" s="1">
        <v>86</v>
      </c>
      <c r="H594" s="1">
        <v>4.7798980000000002</v>
      </c>
      <c r="I594" s="1">
        <v>0.59302299999999997</v>
      </c>
      <c r="J594" s="1">
        <v>2834.5903840000001</v>
      </c>
      <c r="K594" s="1">
        <v>0.04</v>
      </c>
      <c r="L594" s="1">
        <v>351.44394999999997</v>
      </c>
      <c r="M594" s="1" t="s">
        <v>31</v>
      </c>
      <c r="N594" s="1" t="s">
        <v>31</v>
      </c>
      <c r="O594" s="1" t="s">
        <v>31</v>
      </c>
      <c r="P594" s="2">
        <f t="shared" si="18"/>
        <v>1.1381615759781895E-4</v>
      </c>
      <c r="Q594" s="2">
        <f t="shared" si="19"/>
        <v>6094.3693250000006</v>
      </c>
    </row>
    <row r="595" spans="1:17" ht="12.5" x14ac:dyDescent="0.25">
      <c r="A595" s="3">
        <v>46086</v>
      </c>
      <c r="B595" s="1" t="s">
        <v>16</v>
      </c>
      <c r="C595" s="1" t="s">
        <v>40</v>
      </c>
      <c r="D595" s="1" t="s">
        <v>41</v>
      </c>
      <c r="E595" s="1">
        <v>331.21463899999998</v>
      </c>
      <c r="F595" s="1">
        <v>40</v>
      </c>
      <c r="G595" s="1">
        <v>63</v>
      </c>
      <c r="H595" s="1">
        <v>8.2803660000000008</v>
      </c>
      <c r="I595" s="1">
        <v>0.63492099999999996</v>
      </c>
      <c r="J595" s="1">
        <v>5257.3752219999997</v>
      </c>
      <c r="K595" s="1">
        <v>0</v>
      </c>
      <c r="L595" s="1">
        <v>0</v>
      </c>
      <c r="M595" s="1" t="s">
        <v>31</v>
      </c>
      <c r="N595" s="1" t="s">
        <v>31</v>
      </c>
      <c r="O595" s="1" t="s">
        <v>31</v>
      </c>
      <c r="P595" s="2">
        <f t="shared" si="18"/>
        <v>0</v>
      </c>
      <c r="Q595" s="2">
        <f t="shared" si="19"/>
        <v>0</v>
      </c>
    </row>
    <row r="596" spans="1:17" ht="12.5" x14ac:dyDescent="0.25">
      <c r="A596" s="3">
        <v>46117</v>
      </c>
      <c r="B596" s="1" t="s">
        <v>16</v>
      </c>
      <c r="C596" s="1" t="s">
        <v>40</v>
      </c>
      <c r="D596" s="1" t="s">
        <v>41</v>
      </c>
      <c r="E596" s="1">
        <v>291.57010700000001</v>
      </c>
      <c r="F596" s="1">
        <v>34</v>
      </c>
      <c r="G596" s="1">
        <v>64</v>
      </c>
      <c r="H596" s="1">
        <v>8.5755909999999993</v>
      </c>
      <c r="I596" s="1">
        <v>0.53125</v>
      </c>
      <c r="J596" s="1">
        <v>4555.7829220000003</v>
      </c>
      <c r="K596" s="1">
        <v>2</v>
      </c>
      <c r="L596" s="1">
        <v>41300</v>
      </c>
      <c r="M596" s="1" t="s">
        <v>31</v>
      </c>
      <c r="N596" s="1" t="s">
        <v>31</v>
      </c>
      <c r="O596" s="1" t="s">
        <v>31</v>
      </c>
      <c r="P596" s="2">
        <f t="shared" si="18"/>
        <v>4.8426150121065373E-5</v>
      </c>
      <c r="Q596" s="2">
        <f t="shared" si="19"/>
        <v>145.7850535</v>
      </c>
    </row>
    <row r="597" spans="1:17" ht="12.5" x14ac:dyDescent="0.25">
      <c r="A597" s="3">
        <v>46147</v>
      </c>
      <c r="B597" s="1" t="s">
        <v>16</v>
      </c>
      <c r="C597" s="1" t="s">
        <v>40</v>
      </c>
      <c r="D597" s="1" t="s">
        <v>41</v>
      </c>
      <c r="E597" s="1">
        <v>80.397962000000007</v>
      </c>
      <c r="F597" s="1">
        <v>37</v>
      </c>
      <c r="G597" s="1">
        <v>88</v>
      </c>
      <c r="H597" s="1">
        <v>2.1729180000000001</v>
      </c>
      <c r="I597" s="1">
        <v>0.42045500000000002</v>
      </c>
      <c r="J597" s="1">
        <v>913.61320499999999</v>
      </c>
      <c r="K597" s="1">
        <v>0</v>
      </c>
      <c r="L597" s="1">
        <v>0</v>
      </c>
      <c r="M597" s="1" t="s">
        <v>31</v>
      </c>
      <c r="N597" s="1" t="s">
        <v>31</v>
      </c>
      <c r="O597" s="1" t="s">
        <v>31</v>
      </c>
      <c r="P597" s="2">
        <f t="shared" si="18"/>
        <v>0</v>
      </c>
      <c r="Q597" s="2">
        <f t="shared" si="19"/>
        <v>0</v>
      </c>
    </row>
    <row r="598" spans="1:17" ht="12.5" x14ac:dyDescent="0.25">
      <c r="A598" s="3">
        <v>46178</v>
      </c>
      <c r="B598" s="1" t="s">
        <v>16</v>
      </c>
      <c r="C598" s="1" t="s">
        <v>40</v>
      </c>
      <c r="D598" s="1" t="s">
        <v>41</v>
      </c>
      <c r="E598" s="1">
        <v>171.17989</v>
      </c>
      <c r="F598" s="1">
        <v>54</v>
      </c>
      <c r="G598" s="1">
        <v>120</v>
      </c>
      <c r="H598" s="1">
        <v>3.1699980000000001</v>
      </c>
      <c r="I598" s="1">
        <v>0.45</v>
      </c>
      <c r="J598" s="1">
        <v>1426.4990829999999</v>
      </c>
      <c r="K598" s="1">
        <v>1</v>
      </c>
      <c r="L598" s="1">
        <v>7700</v>
      </c>
      <c r="M598" s="1" t="s">
        <v>31</v>
      </c>
      <c r="N598" s="1" t="s">
        <v>31</v>
      </c>
      <c r="O598" s="1" t="s">
        <v>31</v>
      </c>
      <c r="P598" s="2">
        <f t="shared" si="18"/>
        <v>1.2987012987012987E-4</v>
      </c>
      <c r="Q598" s="2">
        <f t="shared" si="19"/>
        <v>171.17989</v>
      </c>
    </row>
    <row r="599" spans="1:17" ht="12.5" x14ac:dyDescent="0.25">
      <c r="A599" s="3">
        <v>46208</v>
      </c>
      <c r="B599" s="1" t="s">
        <v>16</v>
      </c>
      <c r="C599" s="1" t="s">
        <v>40</v>
      </c>
      <c r="D599" s="1" t="s">
        <v>41</v>
      </c>
      <c r="E599" s="1">
        <v>101.22883899999999</v>
      </c>
      <c r="F599" s="1">
        <v>45</v>
      </c>
      <c r="G599" s="1">
        <v>80</v>
      </c>
      <c r="H599" s="1">
        <v>2.24953</v>
      </c>
      <c r="I599" s="1">
        <v>0.5625</v>
      </c>
      <c r="J599" s="1">
        <v>1265.3604869999999</v>
      </c>
      <c r="K599" s="1">
        <v>0</v>
      </c>
      <c r="L599" s="1">
        <v>0</v>
      </c>
      <c r="M599" s="1" t="s">
        <v>31</v>
      </c>
      <c r="N599" s="1" t="s">
        <v>31</v>
      </c>
      <c r="O599" s="1" t="s">
        <v>31</v>
      </c>
      <c r="P599" s="2">
        <f t="shared" si="18"/>
        <v>0</v>
      </c>
      <c r="Q599" s="2">
        <f t="shared" si="19"/>
        <v>0</v>
      </c>
    </row>
    <row r="600" spans="1:17" ht="12.5" x14ac:dyDescent="0.25">
      <c r="A600" s="3">
        <v>46239</v>
      </c>
      <c r="B600" s="1" t="s">
        <v>16</v>
      </c>
      <c r="C600" s="1" t="s">
        <v>40</v>
      </c>
      <c r="D600" s="1" t="s">
        <v>41</v>
      </c>
      <c r="E600" s="1">
        <v>32.964194999999997</v>
      </c>
      <c r="F600" s="1">
        <v>36</v>
      </c>
      <c r="G600" s="1">
        <v>72</v>
      </c>
      <c r="H600" s="1">
        <v>0.91567200000000004</v>
      </c>
      <c r="I600" s="1">
        <v>0.5</v>
      </c>
      <c r="J600" s="1">
        <v>457.83604200000002</v>
      </c>
      <c r="K600" s="1">
        <v>0</v>
      </c>
      <c r="L600" s="1">
        <v>0</v>
      </c>
      <c r="M600" s="1" t="s">
        <v>31</v>
      </c>
      <c r="N600" s="1" t="s">
        <v>31</v>
      </c>
      <c r="O600" s="1" t="s">
        <v>31</v>
      </c>
      <c r="P600" s="2">
        <f t="shared" si="18"/>
        <v>0</v>
      </c>
      <c r="Q600" s="2">
        <f t="shared" si="19"/>
        <v>0</v>
      </c>
    </row>
    <row r="601" spans="1:17" ht="12.5" x14ac:dyDescent="0.25">
      <c r="A601" s="3">
        <v>46270</v>
      </c>
      <c r="B601" s="1" t="s">
        <v>16</v>
      </c>
      <c r="C601" s="1" t="s">
        <v>40</v>
      </c>
      <c r="D601" s="1" t="s">
        <v>41</v>
      </c>
      <c r="E601" s="1">
        <v>69.783629000000005</v>
      </c>
      <c r="F601" s="1">
        <v>33</v>
      </c>
      <c r="G601" s="1">
        <v>70</v>
      </c>
      <c r="H601" s="1">
        <v>2.114655</v>
      </c>
      <c r="I601" s="1">
        <v>0.47142899999999999</v>
      </c>
      <c r="J601" s="1">
        <v>996.90898600000003</v>
      </c>
      <c r="K601" s="1">
        <v>0</v>
      </c>
      <c r="L601" s="1">
        <v>0</v>
      </c>
      <c r="M601" s="1" t="s">
        <v>31</v>
      </c>
      <c r="N601" s="1" t="s">
        <v>31</v>
      </c>
      <c r="O601" s="1" t="s">
        <v>31</v>
      </c>
      <c r="P601" s="2">
        <f t="shared" si="18"/>
        <v>0</v>
      </c>
      <c r="Q601" s="2">
        <f t="shared" si="19"/>
        <v>0</v>
      </c>
    </row>
    <row r="602" spans="1:17" ht="12.5" x14ac:dyDescent="0.25">
      <c r="A602" s="3">
        <v>46300</v>
      </c>
      <c r="B602" s="1" t="s">
        <v>16</v>
      </c>
      <c r="C602" s="1" t="s">
        <v>40</v>
      </c>
      <c r="D602" s="1" t="s">
        <v>41</v>
      </c>
      <c r="E602" s="1">
        <v>76.647819999999996</v>
      </c>
      <c r="F602" s="1">
        <v>36</v>
      </c>
      <c r="G602" s="1">
        <v>77</v>
      </c>
      <c r="H602" s="1">
        <v>2.1291060000000002</v>
      </c>
      <c r="I602" s="1">
        <v>0.467532</v>
      </c>
      <c r="J602" s="1">
        <v>995.42623400000002</v>
      </c>
      <c r="K602" s="1">
        <v>1</v>
      </c>
      <c r="L602" s="1">
        <v>19470</v>
      </c>
      <c r="M602" s="1" t="s">
        <v>31</v>
      </c>
      <c r="N602" s="1" t="s">
        <v>31</v>
      </c>
      <c r="O602" s="1" t="s">
        <v>31</v>
      </c>
      <c r="P602" s="2">
        <f t="shared" si="18"/>
        <v>5.1361068310220854E-5</v>
      </c>
      <c r="Q602" s="2">
        <f t="shared" si="19"/>
        <v>76.647819999999996</v>
      </c>
    </row>
    <row r="603" spans="1:17" ht="12.5" x14ac:dyDescent="0.25">
      <c r="A603" s="3">
        <v>46331</v>
      </c>
      <c r="B603" s="1" t="s">
        <v>16</v>
      </c>
      <c r="C603" s="1" t="s">
        <v>40</v>
      </c>
      <c r="D603" s="1" t="s">
        <v>41</v>
      </c>
      <c r="E603" s="1">
        <v>58.530752999999997</v>
      </c>
      <c r="F603" s="1">
        <v>42</v>
      </c>
      <c r="G603" s="1">
        <v>81</v>
      </c>
      <c r="H603" s="1">
        <v>1.393589</v>
      </c>
      <c r="I603" s="1">
        <v>0.51851899999999995</v>
      </c>
      <c r="J603" s="1">
        <v>722.60188900000003</v>
      </c>
      <c r="K603" s="1">
        <v>1</v>
      </c>
      <c r="L603" s="1">
        <v>19250</v>
      </c>
      <c r="M603" s="1" t="s">
        <v>31</v>
      </c>
      <c r="N603" s="1" t="s">
        <v>31</v>
      </c>
      <c r="O603" s="1" t="s">
        <v>31</v>
      </c>
      <c r="P603" s="2">
        <f t="shared" si="18"/>
        <v>5.1948051948051951E-5</v>
      </c>
      <c r="Q603" s="2">
        <f t="shared" si="19"/>
        <v>58.530752999999997</v>
      </c>
    </row>
    <row r="604" spans="1:17" ht="12.5" x14ac:dyDescent="0.25">
      <c r="A604" s="3">
        <v>46361</v>
      </c>
      <c r="B604" s="1" t="s">
        <v>16</v>
      </c>
      <c r="C604" s="1" t="s">
        <v>40</v>
      </c>
      <c r="D604" s="1" t="s">
        <v>41</v>
      </c>
      <c r="E604" s="1">
        <v>120.200647</v>
      </c>
      <c r="F604" s="1">
        <v>34</v>
      </c>
      <c r="G604" s="1">
        <v>67</v>
      </c>
      <c r="H604" s="1">
        <v>3.5353129999999999</v>
      </c>
      <c r="I604" s="1">
        <v>0.507463</v>
      </c>
      <c r="J604" s="1">
        <v>1794.039507</v>
      </c>
      <c r="K604" s="1">
        <v>0</v>
      </c>
      <c r="L604" s="1">
        <v>0</v>
      </c>
      <c r="M604" s="1" t="s">
        <v>31</v>
      </c>
      <c r="N604" s="1" t="s">
        <v>31</v>
      </c>
      <c r="O604" s="1" t="s">
        <v>31</v>
      </c>
      <c r="P604" s="2">
        <f t="shared" si="18"/>
        <v>0</v>
      </c>
      <c r="Q604" s="2">
        <f t="shared" si="19"/>
        <v>0</v>
      </c>
    </row>
    <row r="605" spans="1:17" ht="12.5" x14ac:dyDescent="0.25">
      <c r="A605" s="1" t="s">
        <v>109</v>
      </c>
      <c r="B605" s="1" t="s">
        <v>16</v>
      </c>
      <c r="C605" s="1" t="s">
        <v>40</v>
      </c>
      <c r="D605" s="1" t="s">
        <v>41</v>
      </c>
      <c r="E605" s="1">
        <v>36.564076</v>
      </c>
      <c r="F605" s="1">
        <v>39</v>
      </c>
      <c r="G605" s="1">
        <v>74</v>
      </c>
      <c r="H605" s="1">
        <v>0.93754000000000004</v>
      </c>
      <c r="I605" s="1">
        <v>0.52702700000000002</v>
      </c>
      <c r="J605" s="1">
        <v>494.10913499999998</v>
      </c>
      <c r="K605" s="1">
        <v>0</v>
      </c>
      <c r="L605" s="1">
        <v>0</v>
      </c>
      <c r="M605" s="1" t="s">
        <v>31</v>
      </c>
      <c r="N605" s="1" t="s">
        <v>31</v>
      </c>
      <c r="O605" s="1" t="s">
        <v>31</v>
      </c>
      <c r="P605" s="2">
        <f t="shared" si="18"/>
        <v>0</v>
      </c>
      <c r="Q605" s="2">
        <f t="shared" si="19"/>
        <v>0</v>
      </c>
    </row>
    <row r="606" spans="1:17" ht="12.5" x14ac:dyDescent="0.25">
      <c r="A606" s="1" t="s">
        <v>110</v>
      </c>
      <c r="B606" s="1" t="s">
        <v>16</v>
      </c>
      <c r="C606" s="1" t="s">
        <v>40</v>
      </c>
      <c r="D606" s="1" t="s">
        <v>41</v>
      </c>
      <c r="E606" s="1">
        <v>215.71771200000001</v>
      </c>
      <c r="F606" s="1">
        <v>36</v>
      </c>
      <c r="G606" s="1">
        <v>66</v>
      </c>
      <c r="H606" s="1">
        <v>5.992159</v>
      </c>
      <c r="I606" s="1">
        <v>0.54545500000000002</v>
      </c>
      <c r="J606" s="1">
        <v>3268.450182</v>
      </c>
      <c r="K606" s="1">
        <v>0</v>
      </c>
      <c r="L606" s="1">
        <v>0</v>
      </c>
      <c r="M606" s="1" t="s">
        <v>31</v>
      </c>
      <c r="N606" s="1" t="s">
        <v>31</v>
      </c>
      <c r="O606" s="1" t="s">
        <v>31</v>
      </c>
      <c r="P606" s="2">
        <f t="shared" si="18"/>
        <v>0</v>
      </c>
      <c r="Q606" s="2">
        <f t="shared" si="19"/>
        <v>0</v>
      </c>
    </row>
    <row r="607" spans="1:17" ht="12.5" x14ac:dyDescent="0.25">
      <c r="A607" s="1" t="s">
        <v>111</v>
      </c>
      <c r="B607" s="1" t="s">
        <v>16</v>
      </c>
      <c r="C607" s="1" t="s">
        <v>40</v>
      </c>
      <c r="D607" s="1" t="s">
        <v>41</v>
      </c>
      <c r="E607" s="1">
        <v>14.742523</v>
      </c>
      <c r="F607" s="1">
        <v>23</v>
      </c>
      <c r="G607" s="1">
        <v>41</v>
      </c>
      <c r="H607" s="1">
        <v>0.64097899999999997</v>
      </c>
      <c r="I607" s="1">
        <v>0.56097600000000003</v>
      </c>
      <c r="J607" s="1">
        <v>359.57373200000001</v>
      </c>
      <c r="K607" s="1">
        <v>0</v>
      </c>
      <c r="L607" s="1">
        <v>0</v>
      </c>
      <c r="M607" s="1" t="s">
        <v>31</v>
      </c>
      <c r="N607" s="1" t="s">
        <v>31</v>
      </c>
      <c r="O607" s="1" t="s">
        <v>31</v>
      </c>
      <c r="P607" s="2">
        <f t="shared" si="18"/>
        <v>0</v>
      </c>
      <c r="Q607" s="2">
        <f t="shared" si="19"/>
        <v>0</v>
      </c>
    </row>
    <row r="608" spans="1:17" ht="12.5" x14ac:dyDescent="0.25">
      <c r="A608" s="1" t="s">
        <v>112</v>
      </c>
      <c r="B608" s="1" t="s">
        <v>16</v>
      </c>
      <c r="C608" s="1" t="s">
        <v>40</v>
      </c>
      <c r="D608" s="1" t="s">
        <v>41</v>
      </c>
      <c r="E608" s="1">
        <v>105.570328</v>
      </c>
      <c r="F608" s="1">
        <v>21</v>
      </c>
      <c r="G608" s="1">
        <v>37</v>
      </c>
      <c r="H608" s="1">
        <v>5.027158</v>
      </c>
      <c r="I608" s="1">
        <v>0.56756799999999996</v>
      </c>
      <c r="J608" s="1">
        <v>2853.2521080000001</v>
      </c>
      <c r="K608" s="1">
        <v>0</v>
      </c>
      <c r="L608" s="1">
        <v>0</v>
      </c>
      <c r="M608" s="1" t="s">
        <v>31</v>
      </c>
      <c r="N608" s="1" t="s">
        <v>31</v>
      </c>
      <c r="O608" s="1" t="s">
        <v>31</v>
      </c>
      <c r="P608" s="2">
        <f t="shared" si="18"/>
        <v>0</v>
      </c>
      <c r="Q608" s="2">
        <f t="shared" si="19"/>
        <v>0</v>
      </c>
    </row>
    <row r="609" spans="1:17" ht="12.5" x14ac:dyDescent="0.25">
      <c r="A609" s="1" t="s">
        <v>113</v>
      </c>
      <c r="B609" s="1" t="s">
        <v>16</v>
      </c>
      <c r="C609" s="1" t="s">
        <v>40</v>
      </c>
      <c r="D609" s="1" t="s">
        <v>41</v>
      </c>
      <c r="E609" s="1">
        <v>153.19108800000001</v>
      </c>
      <c r="F609" s="1">
        <v>31</v>
      </c>
      <c r="G609" s="1">
        <v>55</v>
      </c>
      <c r="H609" s="1">
        <v>4.9416479999999998</v>
      </c>
      <c r="I609" s="1">
        <v>0.56363600000000003</v>
      </c>
      <c r="J609" s="1">
        <v>2785.2925089999999</v>
      </c>
      <c r="K609" s="1">
        <v>1</v>
      </c>
      <c r="L609" s="1">
        <v>10527</v>
      </c>
      <c r="M609" s="1" t="s">
        <v>31</v>
      </c>
      <c r="N609" s="1" t="s">
        <v>31</v>
      </c>
      <c r="O609" s="1" t="s">
        <v>31</v>
      </c>
      <c r="P609" s="2">
        <f t="shared" si="18"/>
        <v>9.4993825401348917E-5</v>
      </c>
      <c r="Q609" s="2">
        <f t="shared" si="19"/>
        <v>153.19108800000001</v>
      </c>
    </row>
    <row r="610" spans="1:17" ht="12.5" x14ac:dyDescent="0.25">
      <c r="A610" s="1" t="s">
        <v>114</v>
      </c>
      <c r="B610" s="1" t="s">
        <v>16</v>
      </c>
      <c r="C610" s="1" t="s">
        <v>40</v>
      </c>
      <c r="D610" s="1" t="s">
        <v>41</v>
      </c>
      <c r="E610" s="1">
        <v>178.56026299999999</v>
      </c>
      <c r="F610" s="1">
        <v>28</v>
      </c>
      <c r="G610" s="1">
        <v>50</v>
      </c>
      <c r="H610" s="1">
        <v>6.3771519999999997</v>
      </c>
      <c r="I610" s="1">
        <v>0.56000000000000005</v>
      </c>
      <c r="J610" s="1">
        <v>3571.2052600000002</v>
      </c>
      <c r="K610" s="1">
        <v>1</v>
      </c>
      <c r="L610" s="1">
        <v>5500</v>
      </c>
      <c r="M610" s="1" t="s">
        <v>31</v>
      </c>
      <c r="N610" s="1" t="s">
        <v>31</v>
      </c>
      <c r="O610" s="1" t="s">
        <v>31</v>
      </c>
      <c r="P610" s="2">
        <f t="shared" si="18"/>
        <v>1.8181818181818181E-4</v>
      </c>
      <c r="Q610" s="2">
        <f t="shared" si="19"/>
        <v>178.56026299999999</v>
      </c>
    </row>
    <row r="611" spans="1:17" ht="12.5" x14ac:dyDescent="0.25">
      <c r="A611" s="1" t="s">
        <v>115</v>
      </c>
      <c r="B611" s="1" t="s">
        <v>16</v>
      </c>
      <c r="C611" s="1" t="s">
        <v>40</v>
      </c>
      <c r="D611" s="1" t="s">
        <v>41</v>
      </c>
      <c r="E611" s="1">
        <v>121.58591199999999</v>
      </c>
      <c r="F611" s="1">
        <v>29</v>
      </c>
      <c r="G611" s="1">
        <v>60</v>
      </c>
      <c r="H611" s="1">
        <v>4.1926180000000004</v>
      </c>
      <c r="I611" s="1">
        <v>0.48333300000000001</v>
      </c>
      <c r="J611" s="1">
        <v>2026.431867</v>
      </c>
      <c r="K611" s="1">
        <v>0</v>
      </c>
      <c r="L611" s="1">
        <v>0</v>
      </c>
      <c r="M611" s="1" t="s">
        <v>31</v>
      </c>
      <c r="N611" s="1" t="s">
        <v>31</v>
      </c>
      <c r="O611" s="1" t="s">
        <v>31</v>
      </c>
      <c r="P611" s="2">
        <f t="shared" si="18"/>
        <v>0</v>
      </c>
      <c r="Q611" s="2">
        <f t="shared" si="19"/>
        <v>0</v>
      </c>
    </row>
    <row r="612" spans="1:17" ht="12.5" x14ac:dyDescent="0.25">
      <c r="A612" s="1" t="s">
        <v>116</v>
      </c>
      <c r="B612" s="1" t="s">
        <v>16</v>
      </c>
      <c r="C612" s="1" t="s">
        <v>40</v>
      </c>
      <c r="D612" s="1" t="s">
        <v>41</v>
      </c>
      <c r="E612" s="1">
        <v>31.88</v>
      </c>
      <c r="F612" s="1">
        <v>24</v>
      </c>
      <c r="G612" s="1">
        <v>51</v>
      </c>
      <c r="H612" s="1">
        <v>1.328333</v>
      </c>
      <c r="I612" s="1">
        <v>0.47058800000000001</v>
      </c>
      <c r="J612" s="1">
        <v>625.09803899999997</v>
      </c>
      <c r="K612" s="1">
        <v>0.79</v>
      </c>
      <c r="L612" s="1">
        <v>6692.81405</v>
      </c>
      <c r="M612" s="1" t="s">
        <v>31</v>
      </c>
      <c r="N612" s="1" t="s">
        <v>31</v>
      </c>
      <c r="O612" s="1" t="s">
        <v>31</v>
      </c>
      <c r="P612" s="2">
        <f t="shared" si="18"/>
        <v>1.1803704601654068E-4</v>
      </c>
      <c r="Q612" s="2">
        <f t="shared" si="19"/>
        <v>40.35443037974683</v>
      </c>
    </row>
    <row r="613" spans="1:17" ht="12.5" x14ac:dyDescent="0.25">
      <c r="A613" s="1" t="s">
        <v>117</v>
      </c>
      <c r="B613" s="1" t="s">
        <v>16</v>
      </c>
      <c r="C613" s="1" t="s">
        <v>40</v>
      </c>
      <c r="D613" s="1" t="s">
        <v>41</v>
      </c>
      <c r="E613" s="1">
        <v>98.507684999999995</v>
      </c>
      <c r="F613" s="1">
        <v>26</v>
      </c>
      <c r="G613" s="1">
        <v>41</v>
      </c>
      <c r="H613" s="1">
        <v>3.7887569999999999</v>
      </c>
      <c r="I613" s="1">
        <v>0.63414599999999999</v>
      </c>
      <c r="J613" s="1">
        <v>2402.6264630000001</v>
      </c>
      <c r="K613" s="1">
        <v>0.47</v>
      </c>
      <c r="L613" s="1">
        <v>9974.3660899999995</v>
      </c>
      <c r="M613" s="1" t="s">
        <v>31</v>
      </c>
      <c r="N613" s="1" t="s">
        <v>31</v>
      </c>
      <c r="O613" s="1" t="s">
        <v>31</v>
      </c>
      <c r="P613" s="2">
        <f t="shared" si="18"/>
        <v>4.7120789006452041E-5</v>
      </c>
      <c r="Q613" s="2">
        <f t="shared" si="19"/>
        <v>209.59081914893616</v>
      </c>
    </row>
    <row r="614" spans="1:17" ht="12.5" x14ac:dyDescent="0.25">
      <c r="A614" s="1" t="s">
        <v>118</v>
      </c>
      <c r="B614" s="1" t="s">
        <v>16</v>
      </c>
      <c r="C614" s="1" t="s">
        <v>40</v>
      </c>
      <c r="D614" s="1" t="s">
        <v>41</v>
      </c>
      <c r="E614" s="1">
        <v>130.08351999999999</v>
      </c>
      <c r="F614" s="1">
        <v>22</v>
      </c>
      <c r="G614" s="1">
        <v>48</v>
      </c>
      <c r="H614" s="1">
        <v>5.9128869999999996</v>
      </c>
      <c r="I614" s="1">
        <v>0.45833299999999999</v>
      </c>
      <c r="J614" s="1">
        <v>2710.0733329999998</v>
      </c>
      <c r="K614" s="1">
        <v>0</v>
      </c>
      <c r="L614" s="1">
        <v>0</v>
      </c>
      <c r="M614" s="1" t="s">
        <v>31</v>
      </c>
      <c r="N614" s="1" t="s">
        <v>31</v>
      </c>
      <c r="O614" s="1" t="s">
        <v>31</v>
      </c>
      <c r="P614" s="2">
        <f t="shared" si="18"/>
        <v>0</v>
      </c>
      <c r="Q614" s="2">
        <f t="shared" si="19"/>
        <v>0</v>
      </c>
    </row>
    <row r="615" spans="1:17" ht="12.5" x14ac:dyDescent="0.25">
      <c r="A615" s="1" t="s">
        <v>119</v>
      </c>
      <c r="B615" s="1" t="s">
        <v>16</v>
      </c>
      <c r="C615" s="1" t="s">
        <v>40</v>
      </c>
      <c r="D615" s="1" t="s">
        <v>41</v>
      </c>
      <c r="E615" s="1">
        <v>60.756925000000003</v>
      </c>
      <c r="F615" s="1">
        <v>24</v>
      </c>
      <c r="G615" s="1">
        <v>61</v>
      </c>
      <c r="H615" s="1">
        <v>2.531539</v>
      </c>
      <c r="I615" s="1">
        <v>0.39344299999999999</v>
      </c>
      <c r="J615" s="1">
        <v>996.01516400000003</v>
      </c>
      <c r="K615" s="1">
        <v>0</v>
      </c>
      <c r="L615" s="1">
        <v>0</v>
      </c>
      <c r="M615" s="1" t="s">
        <v>31</v>
      </c>
      <c r="N615" s="1" t="s">
        <v>31</v>
      </c>
      <c r="O615" s="1" t="s">
        <v>31</v>
      </c>
      <c r="P615" s="2">
        <f t="shared" si="18"/>
        <v>0</v>
      </c>
      <c r="Q615" s="2">
        <f t="shared" si="19"/>
        <v>0</v>
      </c>
    </row>
    <row r="616" spans="1:17" ht="12.5" x14ac:dyDescent="0.25">
      <c r="A616" s="1" t="s">
        <v>120</v>
      </c>
      <c r="B616" s="1" t="s">
        <v>16</v>
      </c>
      <c r="C616" s="1" t="s">
        <v>40</v>
      </c>
      <c r="D616" s="1" t="s">
        <v>41</v>
      </c>
      <c r="E616" s="1">
        <v>138.055328</v>
      </c>
      <c r="F616" s="1">
        <v>37</v>
      </c>
      <c r="G616" s="1">
        <v>72</v>
      </c>
      <c r="H616" s="1">
        <v>3.7312249999999998</v>
      </c>
      <c r="I616" s="1">
        <v>0.51388900000000004</v>
      </c>
      <c r="J616" s="1">
        <v>1917.435111</v>
      </c>
      <c r="K616" s="1">
        <v>0</v>
      </c>
      <c r="L616" s="1">
        <v>0</v>
      </c>
      <c r="M616" s="1" t="s">
        <v>31</v>
      </c>
      <c r="N616" s="1" t="s">
        <v>31</v>
      </c>
      <c r="O616" s="1" t="s">
        <v>31</v>
      </c>
      <c r="P616" s="2">
        <f t="shared" si="18"/>
        <v>0</v>
      </c>
      <c r="Q616" s="2">
        <f t="shared" si="19"/>
        <v>0</v>
      </c>
    </row>
    <row r="617" spans="1:17" ht="12.5" x14ac:dyDescent="0.25">
      <c r="A617" s="1" t="s">
        <v>121</v>
      </c>
      <c r="B617" s="1" t="s">
        <v>16</v>
      </c>
      <c r="C617" s="1" t="s">
        <v>40</v>
      </c>
      <c r="D617" s="1" t="s">
        <v>41</v>
      </c>
      <c r="E617" s="1">
        <v>127.923407</v>
      </c>
      <c r="F617" s="1">
        <v>39</v>
      </c>
      <c r="G617" s="1">
        <v>75</v>
      </c>
      <c r="H617" s="1">
        <v>3.280087</v>
      </c>
      <c r="I617" s="1">
        <v>0.52</v>
      </c>
      <c r="J617" s="1">
        <v>1705.6454269999999</v>
      </c>
      <c r="K617" s="1">
        <v>0</v>
      </c>
      <c r="L617" s="1">
        <v>0</v>
      </c>
      <c r="M617" s="1" t="s">
        <v>31</v>
      </c>
      <c r="N617" s="1" t="s">
        <v>31</v>
      </c>
      <c r="O617" s="1" t="s">
        <v>31</v>
      </c>
      <c r="P617" s="2">
        <f t="shared" si="18"/>
        <v>0</v>
      </c>
      <c r="Q617" s="2">
        <f t="shared" si="19"/>
        <v>0</v>
      </c>
    </row>
    <row r="618" spans="1:17" ht="12.5" x14ac:dyDescent="0.25">
      <c r="A618" s="1" t="s">
        <v>103</v>
      </c>
      <c r="B618" s="1" t="s">
        <v>16</v>
      </c>
      <c r="C618" s="1" t="s">
        <v>40</v>
      </c>
      <c r="D618" s="1" t="s">
        <v>41</v>
      </c>
      <c r="E618" s="1">
        <v>82.268741000000006</v>
      </c>
      <c r="F618" s="1">
        <v>26</v>
      </c>
      <c r="G618" s="1">
        <v>47</v>
      </c>
      <c r="H618" s="1">
        <v>3.1641819999999998</v>
      </c>
      <c r="I618" s="1">
        <v>0.55319099999999999</v>
      </c>
      <c r="J618" s="1">
        <v>1750.398745</v>
      </c>
      <c r="K618" s="1">
        <v>0</v>
      </c>
      <c r="L618" s="1">
        <v>0</v>
      </c>
      <c r="M618" s="1" t="s">
        <v>31</v>
      </c>
      <c r="N618" s="1" t="s">
        <v>31</v>
      </c>
      <c r="O618" s="1" t="s">
        <v>31</v>
      </c>
      <c r="P618" s="2">
        <f t="shared" si="18"/>
        <v>0</v>
      </c>
      <c r="Q618" s="2">
        <f t="shared" si="19"/>
        <v>0</v>
      </c>
    </row>
    <row r="619" spans="1:17" ht="12.5" x14ac:dyDescent="0.25">
      <c r="A619" s="1" t="s">
        <v>104</v>
      </c>
      <c r="B619" s="1" t="s">
        <v>16</v>
      </c>
      <c r="C619" s="1" t="s">
        <v>40</v>
      </c>
      <c r="D619" s="1" t="s">
        <v>41</v>
      </c>
      <c r="E619" s="1">
        <v>88.463623999999996</v>
      </c>
      <c r="F619" s="1">
        <v>59</v>
      </c>
      <c r="G619" s="1">
        <v>85</v>
      </c>
      <c r="H619" s="1">
        <v>1.4993829999999999</v>
      </c>
      <c r="I619" s="1">
        <v>0.69411800000000001</v>
      </c>
      <c r="J619" s="1">
        <v>1040.7485180000001</v>
      </c>
      <c r="K619" s="1">
        <v>0</v>
      </c>
      <c r="L619" s="1">
        <v>0</v>
      </c>
      <c r="M619" s="1" t="s">
        <v>31</v>
      </c>
      <c r="N619" s="1" t="s">
        <v>31</v>
      </c>
      <c r="O619" s="1" t="s">
        <v>31</v>
      </c>
      <c r="P619" s="2">
        <f t="shared" si="18"/>
        <v>0</v>
      </c>
      <c r="Q619" s="2">
        <f t="shared" si="19"/>
        <v>0</v>
      </c>
    </row>
    <row r="620" spans="1:17" ht="12.5" x14ac:dyDescent="0.25">
      <c r="A620" s="1" t="s">
        <v>105</v>
      </c>
      <c r="B620" s="1" t="s">
        <v>16</v>
      </c>
      <c r="C620" s="1" t="s">
        <v>40</v>
      </c>
      <c r="D620" s="1" t="s">
        <v>41</v>
      </c>
      <c r="E620" s="1">
        <v>191.591905</v>
      </c>
      <c r="F620" s="1">
        <v>60</v>
      </c>
      <c r="G620" s="1">
        <v>118</v>
      </c>
      <c r="H620" s="1">
        <v>3.1931980000000002</v>
      </c>
      <c r="I620" s="1">
        <v>0.50847500000000001</v>
      </c>
      <c r="J620" s="1">
        <v>1623.660212</v>
      </c>
      <c r="K620" s="1">
        <v>3</v>
      </c>
      <c r="L620" s="1">
        <v>74980</v>
      </c>
      <c r="M620" s="1" t="s">
        <v>31</v>
      </c>
      <c r="N620" s="1" t="s">
        <v>31</v>
      </c>
      <c r="O620" s="1" t="s">
        <v>31</v>
      </c>
      <c r="P620" s="2">
        <f t="shared" si="18"/>
        <v>4.0010669511869831E-5</v>
      </c>
      <c r="Q620" s="2">
        <f t="shared" si="19"/>
        <v>63.863968333333332</v>
      </c>
    </row>
    <row r="621" spans="1:17" ht="12.5" x14ac:dyDescent="0.25">
      <c r="A621" s="1" t="s">
        <v>106</v>
      </c>
      <c r="B621" s="1" t="s">
        <v>16</v>
      </c>
      <c r="C621" s="1" t="s">
        <v>40</v>
      </c>
      <c r="D621" s="1" t="s">
        <v>41</v>
      </c>
      <c r="E621" s="1">
        <v>82.692499999999995</v>
      </c>
      <c r="F621" s="1">
        <v>56</v>
      </c>
      <c r="G621" s="1">
        <v>102</v>
      </c>
      <c r="H621" s="1">
        <v>1.4766520000000001</v>
      </c>
      <c r="I621" s="1">
        <v>0.54901999999999995</v>
      </c>
      <c r="J621" s="1">
        <v>810.71078399999999</v>
      </c>
      <c r="K621" s="1">
        <v>2</v>
      </c>
      <c r="L621" s="1">
        <v>29807</v>
      </c>
      <c r="M621" s="1" t="s">
        <v>31</v>
      </c>
      <c r="N621" s="1" t="s">
        <v>31</v>
      </c>
      <c r="O621" s="1" t="s">
        <v>31</v>
      </c>
      <c r="P621" s="2">
        <f t="shared" si="18"/>
        <v>6.7098332606434731E-5</v>
      </c>
      <c r="Q621" s="2">
        <f t="shared" si="19"/>
        <v>41.346249999999998</v>
      </c>
    </row>
    <row r="622" spans="1:17" ht="12.5" x14ac:dyDescent="0.25">
      <c r="A622" s="1" t="s">
        <v>107</v>
      </c>
      <c r="B622" s="1" t="s">
        <v>16</v>
      </c>
      <c r="C622" s="1" t="s">
        <v>40</v>
      </c>
      <c r="D622" s="1" t="s">
        <v>41</v>
      </c>
      <c r="E622" s="1">
        <v>346.98437999999999</v>
      </c>
      <c r="F622" s="1">
        <v>58</v>
      </c>
      <c r="G622" s="1">
        <v>105</v>
      </c>
      <c r="H622" s="1">
        <v>5.9824890000000002</v>
      </c>
      <c r="I622" s="1">
        <v>0.55238100000000001</v>
      </c>
      <c r="J622" s="1">
        <v>3304.613143</v>
      </c>
      <c r="K622" s="1">
        <v>0</v>
      </c>
      <c r="L622" s="1">
        <v>0</v>
      </c>
      <c r="M622" s="1" t="s">
        <v>31</v>
      </c>
      <c r="N622" s="1" t="s">
        <v>31</v>
      </c>
      <c r="O622" s="1" t="s">
        <v>31</v>
      </c>
      <c r="P622" s="2">
        <f t="shared" si="18"/>
        <v>0</v>
      </c>
      <c r="Q622" s="2">
        <f t="shared" si="19"/>
        <v>0</v>
      </c>
    </row>
    <row r="623" spans="1:17" ht="12.5" x14ac:dyDescent="0.25">
      <c r="A623" s="1" t="s">
        <v>108</v>
      </c>
      <c r="B623" s="1" t="s">
        <v>16</v>
      </c>
      <c r="C623" s="1" t="s">
        <v>40</v>
      </c>
      <c r="D623" s="1" t="s">
        <v>41</v>
      </c>
      <c r="E623" s="1">
        <v>851.29964700000005</v>
      </c>
      <c r="F623" s="1">
        <v>46</v>
      </c>
      <c r="G623" s="1">
        <v>170</v>
      </c>
      <c r="H623" s="1">
        <v>18.506513999999999</v>
      </c>
      <c r="I623" s="1">
        <v>0.270588</v>
      </c>
      <c r="J623" s="1">
        <v>5007.6449819999998</v>
      </c>
      <c r="K623" s="1">
        <v>0</v>
      </c>
      <c r="L623" s="1">
        <v>0</v>
      </c>
      <c r="M623" s="1" t="s">
        <v>31</v>
      </c>
      <c r="N623" s="1" t="s">
        <v>31</v>
      </c>
      <c r="O623" s="1" t="s">
        <v>31</v>
      </c>
      <c r="P623" s="2">
        <f t="shared" si="18"/>
        <v>0</v>
      </c>
      <c r="Q623" s="2">
        <f t="shared" si="19"/>
        <v>0</v>
      </c>
    </row>
    <row r="624" spans="1:17" ht="12.5" x14ac:dyDescent="0.25">
      <c r="A624" s="3">
        <v>46027</v>
      </c>
      <c r="B624" s="1" t="s">
        <v>16</v>
      </c>
      <c r="C624" s="1" t="s">
        <v>67</v>
      </c>
      <c r="D624" s="1" t="s">
        <v>41</v>
      </c>
      <c r="E624" s="1">
        <v>968.07601999999997</v>
      </c>
      <c r="F624" s="1">
        <v>311</v>
      </c>
      <c r="G624" s="1">
        <v>9815</v>
      </c>
      <c r="H624" s="1">
        <v>3.1127850000000001</v>
      </c>
      <c r="I624" s="1">
        <v>3.1685999999999999E-2</v>
      </c>
      <c r="J624" s="1">
        <v>98.632300000000001</v>
      </c>
      <c r="K624" s="1">
        <v>0</v>
      </c>
      <c r="L624" s="1">
        <v>0</v>
      </c>
      <c r="M624" s="1" t="s">
        <v>31</v>
      </c>
      <c r="N624" s="1" t="s">
        <v>31</v>
      </c>
      <c r="O624" s="1" t="s">
        <v>31</v>
      </c>
      <c r="P624" s="2">
        <f t="shared" si="18"/>
        <v>0</v>
      </c>
      <c r="Q624" s="2">
        <f t="shared" si="19"/>
        <v>0</v>
      </c>
    </row>
    <row r="625" spans="1:17" ht="12.5" x14ac:dyDescent="0.25">
      <c r="A625" s="3">
        <v>46058</v>
      </c>
      <c r="B625" s="1" t="s">
        <v>16</v>
      </c>
      <c r="C625" s="1" t="s">
        <v>67</v>
      </c>
      <c r="D625" s="1" t="s">
        <v>41</v>
      </c>
      <c r="E625" s="1">
        <v>884.73079800000005</v>
      </c>
      <c r="F625" s="1">
        <v>284</v>
      </c>
      <c r="G625" s="1">
        <v>13486</v>
      </c>
      <c r="H625" s="1">
        <v>3.1152489999999999</v>
      </c>
      <c r="I625" s="1">
        <v>2.1059000000000001E-2</v>
      </c>
      <c r="J625" s="1">
        <v>65.603648000000007</v>
      </c>
      <c r="K625" s="1">
        <v>0</v>
      </c>
      <c r="L625" s="1">
        <v>0</v>
      </c>
      <c r="M625" s="1" t="s">
        <v>31</v>
      </c>
      <c r="N625" s="1" t="s">
        <v>31</v>
      </c>
      <c r="O625" s="1" t="s">
        <v>31</v>
      </c>
      <c r="P625" s="2">
        <f t="shared" si="18"/>
        <v>0</v>
      </c>
      <c r="Q625" s="2">
        <f t="shared" si="19"/>
        <v>0</v>
      </c>
    </row>
    <row r="626" spans="1:17" ht="12.5" x14ac:dyDescent="0.25">
      <c r="A626" s="3">
        <v>46086</v>
      </c>
      <c r="B626" s="1" t="s">
        <v>16</v>
      </c>
      <c r="C626" s="1" t="s">
        <v>67</v>
      </c>
      <c r="D626" s="1" t="s">
        <v>41</v>
      </c>
      <c r="E626" s="1">
        <v>1163.8321189999999</v>
      </c>
      <c r="F626" s="1">
        <v>281</v>
      </c>
      <c r="G626" s="1">
        <v>11759</v>
      </c>
      <c r="H626" s="1">
        <v>4.1417510000000002</v>
      </c>
      <c r="I626" s="1">
        <v>2.3897000000000002E-2</v>
      </c>
      <c r="J626" s="1">
        <v>98.973731999999998</v>
      </c>
      <c r="K626" s="1">
        <v>0</v>
      </c>
      <c r="L626" s="1">
        <v>0</v>
      </c>
      <c r="M626" s="1" t="s">
        <v>31</v>
      </c>
      <c r="N626" s="1" t="s">
        <v>31</v>
      </c>
      <c r="O626" s="1" t="s">
        <v>31</v>
      </c>
      <c r="P626" s="2">
        <f t="shared" si="18"/>
        <v>0</v>
      </c>
      <c r="Q626" s="2">
        <f t="shared" si="19"/>
        <v>0</v>
      </c>
    </row>
    <row r="627" spans="1:17" ht="12.5" x14ac:dyDescent="0.25">
      <c r="A627" s="3">
        <v>46117</v>
      </c>
      <c r="B627" s="1" t="s">
        <v>16</v>
      </c>
      <c r="C627" s="1" t="s">
        <v>67</v>
      </c>
      <c r="D627" s="1" t="s">
        <v>41</v>
      </c>
      <c r="E627" s="1">
        <v>853.23476200000005</v>
      </c>
      <c r="F627" s="1">
        <v>297</v>
      </c>
      <c r="G627" s="1">
        <v>11409</v>
      </c>
      <c r="H627" s="1">
        <v>2.8728440000000002</v>
      </c>
      <c r="I627" s="1">
        <v>2.6032E-2</v>
      </c>
      <c r="J627" s="1">
        <v>74.786113</v>
      </c>
      <c r="K627" s="1">
        <v>0</v>
      </c>
      <c r="L627" s="1">
        <v>0</v>
      </c>
      <c r="M627" s="1" t="s">
        <v>31</v>
      </c>
      <c r="N627" s="1" t="s">
        <v>31</v>
      </c>
      <c r="O627" s="1" t="s">
        <v>31</v>
      </c>
      <c r="P627" s="2">
        <f t="shared" si="18"/>
        <v>0</v>
      </c>
      <c r="Q627" s="2">
        <f t="shared" si="19"/>
        <v>0</v>
      </c>
    </row>
    <row r="628" spans="1:17" ht="12.5" x14ac:dyDescent="0.25">
      <c r="A628" s="3">
        <v>46147</v>
      </c>
      <c r="B628" s="1" t="s">
        <v>16</v>
      </c>
      <c r="C628" s="1" t="s">
        <v>67</v>
      </c>
      <c r="D628" s="1" t="s">
        <v>41</v>
      </c>
      <c r="E628" s="1">
        <v>944.98498700000005</v>
      </c>
      <c r="F628" s="1">
        <v>317</v>
      </c>
      <c r="G628" s="1">
        <v>14473</v>
      </c>
      <c r="H628" s="1">
        <v>2.9810249999999998</v>
      </c>
      <c r="I628" s="1">
        <v>2.1902999999999999E-2</v>
      </c>
      <c r="J628" s="1">
        <v>65.292957999999999</v>
      </c>
      <c r="K628" s="1">
        <v>1</v>
      </c>
      <c r="L628" s="1">
        <v>17550</v>
      </c>
      <c r="M628" s="1" t="s">
        <v>31</v>
      </c>
      <c r="N628" s="1" t="s">
        <v>31</v>
      </c>
      <c r="O628" s="1" t="s">
        <v>31</v>
      </c>
      <c r="P628" s="2">
        <f t="shared" si="18"/>
        <v>5.6980056980056978E-5</v>
      </c>
      <c r="Q628" s="2">
        <f t="shared" si="19"/>
        <v>944.98498700000005</v>
      </c>
    </row>
    <row r="629" spans="1:17" ht="12.5" x14ac:dyDescent="0.25">
      <c r="A629" s="3">
        <v>46178</v>
      </c>
      <c r="B629" s="1" t="s">
        <v>16</v>
      </c>
      <c r="C629" s="1" t="s">
        <v>67</v>
      </c>
      <c r="D629" s="1" t="s">
        <v>41</v>
      </c>
      <c r="E629" s="1">
        <v>651.09471699999995</v>
      </c>
      <c r="F629" s="1">
        <v>219</v>
      </c>
      <c r="G629" s="1">
        <v>9072</v>
      </c>
      <c r="H629" s="1">
        <v>2.9730349999999999</v>
      </c>
      <c r="I629" s="1">
        <v>2.4140000000000002E-2</v>
      </c>
      <c r="J629" s="1">
        <v>71.7697</v>
      </c>
      <c r="K629" s="1">
        <v>0</v>
      </c>
      <c r="L629" s="1">
        <v>0</v>
      </c>
      <c r="M629" s="1" t="s">
        <v>31</v>
      </c>
      <c r="N629" s="1" t="s">
        <v>31</v>
      </c>
      <c r="O629" s="1" t="s">
        <v>31</v>
      </c>
      <c r="P629" s="2">
        <f t="shared" si="18"/>
        <v>0</v>
      </c>
      <c r="Q629" s="2">
        <f t="shared" si="19"/>
        <v>0</v>
      </c>
    </row>
    <row r="630" spans="1:17" ht="12.5" x14ac:dyDescent="0.25">
      <c r="A630" s="3">
        <v>46208</v>
      </c>
      <c r="B630" s="1" t="s">
        <v>16</v>
      </c>
      <c r="C630" s="1" t="s">
        <v>67</v>
      </c>
      <c r="D630" s="1" t="s">
        <v>41</v>
      </c>
      <c r="E630" s="1">
        <v>1466.707345</v>
      </c>
      <c r="F630" s="1">
        <v>340</v>
      </c>
      <c r="G630" s="1">
        <v>15002</v>
      </c>
      <c r="H630" s="1">
        <v>4.3138449999999997</v>
      </c>
      <c r="I630" s="1">
        <v>2.2664E-2</v>
      </c>
      <c r="J630" s="1">
        <v>97.767454000000001</v>
      </c>
      <c r="K630" s="1">
        <v>0</v>
      </c>
      <c r="L630" s="1">
        <v>0</v>
      </c>
      <c r="M630" s="1" t="s">
        <v>31</v>
      </c>
      <c r="N630" s="1" t="s">
        <v>31</v>
      </c>
      <c r="O630" s="1" t="s">
        <v>31</v>
      </c>
      <c r="P630" s="2">
        <f t="shared" si="18"/>
        <v>0</v>
      </c>
      <c r="Q630" s="2">
        <f t="shared" si="19"/>
        <v>0</v>
      </c>
    </row>
    <row r="631" spans="1:17" ht="12.5" x14ac:dyDescent="0.25">
      <c r="A631" s="3">
        <v>46239</v>
      </c>
      <c r="B631" s="1" t="s">
        <v>16</v>
      </c>
      <c r="C631" s="1" t="s">
        <v>67</v>
      </c>
      <c r="D631" s="1" t="s">
        <v>41</v>
      </c>
      <c r="E631" s="1">
        <v>928.031114</v>
      </c>
      <c r="F631" s="1">
        <v>253</v>
      </c>
      <c r="G631" s="1">
        <v>14473</v>
      </c>
      <c r="H631" s="1">
        <v>3.668107</v>
      </c>
      <c r="I631" s="1">
        <v>1.7481E-2</v>
      </c>
      <c r="J631" s="1">
        <v>64.121544999999998</v>
      </c>
      <c r="K631" s="1">
        <v>0</v>
      </c>
      <c r="L631" s="1">
        <v>0</v>
      </c>
      <c r="M631" s="1" t="s">
        <v>31</v>
      </c>
      <c r="N631" s="1" t="s">
        <v>31</v>
      </c>
      <c r="O631" s="1" t="s">
        <v>31</v>
      </c>
      <c r="P631" s="2">
        <f t="shared" si="18"/>
        <v>0</v>
      </c>
      <c r="Q631" s="2">
        <f t="shared" si="19"/>
        <v>0</v>
      </c>
    </row>
    <row r="632" spans="1:17" ht="12.5" x14ac:dyDescent="0.25">
      <c r="A632" s="3">
        <v>46270</v>
      </c>
      <c r="B632" s="1" t="s">
        <v>16</v>
      </c>
      <c r="C632" s="1" t="s">
        <v>67</v>
      </c>
      <c r="D632" s="1" t="s">
        <v>41</v>
      </c>
      <c r="E632" s="1">
        <v>1261.891239</v>
      </c>
      <c r="F632" s="1">
        <v>209</v>
      </c>
      <c r="G632" s="1">
        <v>10786</v>
      </c>
      <c r="H632" s="1">
        <v>6.037757</v>
      </c>
      <c r="I632" s="1">
        <v>1.9376999999999998E-2</v>
      </c>
      <c r="J632" s="1">
        <v>116.99344000000001</v>
      </c>
      <c r="K632" s="1">
        <v>0</v>
      </c>
      <c r="L632" s="1">
        <v>0</v>
      </c>
      <c r="M632" s="1" t="s">
        <v>31</v>
      </c>
      <c r="N632" s="1" t="s">
        <v>31</v>
      </c>
      <c r="O632" s="1" t="s">
        <v>31</v>
      </c>
      <c r="P632" s="2">
        <f t="shared" si="18"/>
        <v>0</v>
      </c>
      <c r="Q632" s="2">
        <f t="shared" si="19"/>
        <v>0</v>
      </c>
    </row>
    <row r="633" spans="1:17" ht="12.5" x14ac:dyDescent="0.25">
      <c r="A633" s="3">
        <v>46300</v>
      </c>
      <c r="B633" s="1" t="s">
        <v>16</v>
      </c>
      <c r="C633" s="1" t="s">
        <v>67</v>
      </c>
      <c r="D633" s="1" t="s">
        <v>41</v>
      </c>
      <c r="E633" s="1">
        <v>657.45840099999998</v>
      </c>
      <c r="F633" s="1">
        <v>152</v>
      </c>
      <c r="G633" s="1">
        <v>7121</v>
      </c>
      <c r="H633" s="1">
        <v>4.3253839999999997</v>
      </c>
      <c r="I633" s="1">
        <v>2.1344999999999999E-2</v>
      </c>
      <c r="J633" s="1">
        <v>92.326695999999998</v>
      </c>
      <c r="K633" s="1">
        <v>0</v>
      </c>
      <c r="L633" s="1">
        <v>0</v>
      </c>
      <c r="M633" s="1" t="s">
        <v>31</v>
      </c>
      <c r="N633" s="1" t="s">
        <v>31</v>
      </c>
      <c r="O633" s="1" t="s">
        <v>31</v>
      </c>
      <c r="P633" s="2">
        <f t="shared" si="18"/>
        <v>0</v>
      </c>
      <c r="Q633" s="2">
        <f t="shared" si="19"/>
        <v>0</v>
      </c>
    </row>
    <row r="634" spans="1:17" ht="12.5" x14ac:dyDescent="0.25">
      <c r="A634" s="3">
        <v>46331</v>
      </c>
      <c r="B634" s="1" t="s">
        <v>16</v>
      </c>
      <c r="C634" s="1" t="s">
        <v>67</v>
      </c>
      <c r="D634" s="1" t="s">
        <v>41</v>
      </c>
      <c r="E634" s="1">
        <v>692.01806699999997</v>
      </c>
      <c r="F634" s="1">
        <v>104</v>
      </c>
      <c r="G634" s="1">
        <v>4849</v>
      </c>
      <c r="H634" s="1">
        <v>6.65402</v>
      </c>
      <c r="I634" s="1">
        <v>2.1447999999999998E-2</v>
      </c>
      <c r="J634" s="1">
        <v>142.71356299999999</v>
      </c>
      <c r="K634" s="1">
        <v>1</v>
      </c>
      <c r="L634" s="1">
        <v>18113.7</v>
      </c>
      <c r="M634" s="1" t="s">
        <v>31</v>
      </c>
      <c r="N634" s="1" t="s">
        <v>31</v>
      </c>
      <c r="O634" s="1" t="s">
        <v>31</v>
      </c>
      <c r="P634" s="2">
        <f t="shared" si="18"/>
        <v>5.5206832397577522E-5</v>
      </c>
      <c r="Q634" s="2">
        <f t="shared" si="19"/>
        <v>692.01806699999997</v>
      </c>
    </row>
    <row r="635" spans="1:17" ht="12.5" x14ac:dyDescent="0.25">
      <c r="A635" s="3">
        <v>46361</v>
      </c>
      <c r="B635" s="1" t="s">
        <v>16</v>
      </c>
      <c r="C635" s="1" t="s">
        <v>67</v>
      </c>
      <c r="D635" s="1" t="s">
        <v>41</v>
      </c>
      <c r="E635" s="1">
        <v>673.88022899999999</v>
      </c>
      <c r="F635" s="1">
        <v>216</v>
      </c>
      <c r="G635" s="1">
        <v>9893</v>
      </c>
      <c r="H635" s="1">
        <v>3.1198160000000001</v>
      </c>
      <c r="I635" s="1">
        <v>2.1833999999999999E-2</v>
      </c>
      <c r="J635" s="1">
        <v>68.116872999999998</v>
      </c>
      <c r="K635" s="1">
        <v>0</v>
      </c>
      <c r="L635" s="1">
        <v>0</v>
      </c>
      <c r="M635" s="1" t="s">
        <v>31</v>
      </c>
      <c r="N635" s="1" t="s">
        <v>31</v>
      </c>
      <c r="O635" s="1" t="s">
        <v>31</v>
      </c>
      <c r="P635" s="2">
        <f t="shared" si="18"/>
        <v>0</v>
      </c>
      <c r="Q635" s="2">
        <f t="shared" si="19"/>
        <v>0</v>
      </c>
    </row>
    <row r="636" spans="1:17" ht="12.5" x14ac:dyDescent="0.25">
      <c r="A636" s="1" t="s">
        <v>109</v>
      </c>
      <c r="B636" s="1" t="s">
        <v>16</v>
      </c>
      <c r="C636" s="1" t="s">
        <v>67</v>
      </c>
      <c r="D636" s="1" t="s">
        <v>41</v>
      </c>
      <c r="E636" s="1">
        <v>574.56893400000001</v>
      </c>
      <c r="F636" s="1">
        <v>163</v>
      </c>
      <c r="G636" s="1">
        <v>9105</v>
      </c>
      <c r="H636" s="1">
        <v>3.5249630000000001</v>
      </c>
      <c r="I636" s="1">
        <v>1.7902000000000001E-2</v>
      </c>
      <c r="J636" s="1">
        <v>63.104770000000002</v>
      </c>
      <c r="K636" s="1">
        <v>0</v>
      </c>
      <c r="L636" s="1">
        <v>0</v>
      </c>
      <c r="M636" s="1" t="s">
        <v>31</v>
      </c>
      <c r="N636" s="1" t="s">
        <v>31</v>
      </c>
      <c r="O636" s="1" t="s">
        <v>31</v>
      </c>
      <c r="P636" s="2">
        <f t="shared" si="18"/>
        <v>0</v>
      </c>
      <c r="Q636" s="2">
        <f t="shared" si="19"/>
        <v>0</v>
      </c>
    </row>
    <row r="637" spans="1:17" ht="12.5" x14ac:dyDescent="0.25">
      <c r="A637" s="1" t="s">
        <v>110</v>
      </c>
      <c r="B637" s="1" t="s">
        <v>16</v>
      </c>
      <c r="C637" s="1" t="s">
        <v>67</v>
      </c>
      <c r="D637" s="1" t="s">
        <v>41</v>
      </c>
      <c r="E637" s="1">
        <v>675.26495199999999</v>
      </c>
      <c r="F637" s="1">
        <v>125</v>
      </c>
      <c r="G637" s="1">
        <v>6175</v>
      </c>
      <c r="H637" s="1">
        <v>5.40212</v>
      </c>
      <c r="I637" s="1">
        <v>2.0243000000000001E-2</v>
      </c>
      <c r="J637" s="1">
        <v>109.354648</v>
      </c>
      <c r="K637" s="1">
        <v>1</v>
      </c>
      <c r="L637" s="1">
        <v>12870</v>
      </c>
      <c r="M637" s="1" t="s">
        <v>31</v>
      </c>
      <c r="N637" s="1" t="s">
        <v>31</v>
      </c>
      <c r="O637" s="1" t="s">
        <v>31</v>
      </c>
      <c r="P637" s="2">
        <f t="shared" si="18"/>
        <v>7.77000777000777E-5</v>
      </c>
      <c r="Q637" s="2">
        <f t="shared" si="19"/>
        <v>675.26495199999999</v>
      </c>
    </row>
    <row r="638" spans="1:17" ht="12.5" x14ac:dyDescent="0.25">
      <c r="A638" s="1" t="s">
        <v>111</v>
      </c>
      <c r="B638" s="1" t="s">
        <v>16</v>
      </c>
      <c r="C638" s="1" t="s">
        <v>67</v>
      </c>
      <c r="D638" s="1" t="s">
        <v>41</v>
      </c>
      <c r="E638" s="1">
        <v>960.99953100000005</v>
      </c>
      <c r="F638" s="1">
        <v>152</v>
      </c>
      <c r="G638" s="1">
        <v>6623</v>
      </c>
      <c r="H638" s="1">
        <v>6.3223649999999996</v>
      </c>
      <c r="I638" s="1">
        <v>2.2950000000000002E-2</v>
      </c>
      <c r="J638" s="1">
        <v>145.100337</v>
      </c>
      <c r="K638" s="1">
        <v>0</v>
      </c>
      <c r="L638" s="1">
        <v>0</v>
      </c>
      <c r="M638" s="1" t="s">
        <v>31</v>
      </c>
      <c r="N638" s="1" t="s">
        <v>31</v>
      </c>
      <c r="O638" s="1" t="s">
        <v>31</v>
      </c>
      <c r="P638" s="2">
        <f t="shared" si="18"/>
        <v>0</v>
      </c>
      <c r="Q638" s="2">
        <f t="shared" si="19"/>
        <v>0</v>
      </c>
    </row>
    <row r="639" spans="1:17" ht="12.5" x14ac:dyDescent="0.25">
      <c r="A639" s="1" t="s">
        <v>112</v>
      </c>
      <c r="B639" s="1" t="s">
        <v>16</v>
      </c>
      <c r="C639" s="1" t="s">
        <v>67</v>
      </c>
      <c r="D639" s="1" t="s">
        <v>41</v>
      </c>
      <c r="E639" s="1">
        <v>510.96250300000003</v>
      </c>
      <c r="F639" s="1">
        <v>181</v>
      </c>
      <c r="G639" s="1">
        <v>8793</v>
      </c>
      <c r="H639" s="1">
        <v>2.822997</v>
      </c>
      <c r="I639" s="1">
        <v>2.0584999999999999E-2</v>
      </c>
      <c r="J639" s="1">
        <v>58.110145000000003</v>
      </c>
      <c r="K639" s="1">
        <v>0.39</v>
      </c>
      <c r="L639" s="1">
        <v>2036.9967160000001</v>
      </c>
      <c r="M639" s="1" t="s">
        <v>31</v>
      </c>
      <c r="N639" s="1" t="s">
        <v>31</v>
      </c>
      <c r="O639" s="1" t="s">
        <v>31</v>
      </c>
      <c r="P639" s="2">
        <f t="shared" si="18"/>
        <v>1.9145833517386976E-4</v>
      </c>
      <c r="Q639" s="2">
        <f t="shared" si="19"/>
        <v>1310.160264102564</v>
      </c>
    </row>
    <row r="640" spans="1:17" ht="12.5" x14ac:dyDescent="0.25">
      <c r="A640" s="1" t="s">
        <v>113</v>
      </c>
      <c r="B640" s="1" t="s">
        <v>16</v>
      </c>
      <c r="C640" s="1" t="s">
        <v>67</v>
      </c>
      <c r="D640" s="1" t="s">
        <v>41</v>
      </c>
      <c r="E640" s="1">
        <v>883.925386</v>
      </c>
      <c r="F640" s="1">
        <v>162</v>
      </c>
      <c r="G640" s="1">
        <v>7656</v>
      </c>
      <c r="H640" s="1">
        <v>5.4563300000000003</v>
      </c>
      <c r="I640" s="1">
        <v>2.1160000000000002E-2</v>
      </c>
      <c r="J640" s="1">
        <v>115.45524899999999</v>
      </c>
      <c r="K640" s="1">
        <v>0</v>
      </c>
      <c r="L640" s="1">
        <v>0</v>
      </c>
      <c r="M640" s="1" t="s">
        <v>31</v>
      </c>
      <c r="N640" s="1" t="s">
        <v>31</v>
      </c>
      <c r="O640" s="1" t="s">
        <v>31</v>
      </c>
      <c r="P640" s="2">
        <f t="shared" si="18"/>
        <v>0</v>
      </c>
      <c r="Q640" s="2">
        <f t="shared" si="19"/>
        <v>0</v>
      </c>
    </row>
    <row r="641" spans="1:17" ht="12.5" x14ac:dyDescent="0.25">
      <c r="A641" s="1" t="s">
        <v>114</v>
      </c>
      <c r="B641" s="1" t="s">
        <v>16</v>
      </c>
      <c r="C641" s="1" t="s">
        <v>67</v>
      </c>
      <c r="D641" s="1" t="s">
        <v>41</v>
      </c>
      <c r="E641" s="1">
        <v>853.48433199999999</v>
      </c>
      <c r="F641" s="1">
        <v>32</v>
      </c>
      <c r="G641" s="1">
        <v>1156</v>
      </c>
      <c r="H641" s="1">
        <v>26.671385000000001</v>
      </c>
      <c r="I641" s="1">
        <v>2.7681999999999998E-2</v>
      </c>
      <c r="J641" s="1">
        <v>738.30824600000005</v>
      </c>
      <c r="K641" s="1">
        <v>0</v>
      </c>
      <c r="L641" s="1">
        <v>0</v>
      </c>
      <c r="M641" s="1" t="s">
        <v>31</v>
      </c>
      <c r="N641" s="1" t="s">
        <v>31</v>
      </c>
      <c r="O641" s="1" t="s">
        <v>31</v>
      </c>
      <c r="P641" s="2">
        <f t="shared" si="18"/>
        <v>0</v>
      </c>
      <c r="Q641" s="2">
        <f t="shared" si="19"/>
        <v>0</v>
      </c>
    </row>
    <row r="642" spans="1:17" ht="12.5" x14ac:dyDescent="0.25">
      <c r="A642" s="1" t="s">
        <v>115</v>
      </c>
      <c r="B642" s="1" t="s">
        <v>16</v>
      </c>
      <c r="C642" s="1" t="s">
        <v>67</v>
      </c>
      <c r="D642" s="1" t="s">
        <v>41</v>
      </c>
      <c r="E642" s="1">
        <v>367.95399500000002</v>
      </c>
      <c r="F642" s="1">
        <v>115</v>
      </c>
      <c r="G642" s="1">
        <v>4508</v>
      </c>
      <c r="H642" s="1">
        <v>3.1996000000000002</v>
      </c>
      <c r="I642" s="1">
        <v>2.5510000000000001E-2</v>
      </c>
      <c r="J642" s="1">
        <v>81.622448000000006</v>
      </c>
      <c r="K642" s="1">
        <v>1</v>
      </c>
      <c r="L642" s="1">
        <v>67716</v>
      </c>
      <c r="M642" s="1" t="s">
        <v>31</v>
      </c>
      <c r="N642" s="1" t="s">
        <v>31</v>
      </c>
      <c r="O642" s="1" t="s">
        <v>31</v>
      </c>
      <c r="P642" s="2">
        <f t="shared" si="18"/>
        <v>1.4767558627207751E-5</v>
      </c>
      <c r="Q642" s="2">
        <f t="shared" si="19"/>
        <v>367.95399500000002</v>
      </c>
    </row>
    <row r="643" spans="1:17" ht="12.5" x14ac:dyDescent="0.25">
      <c r="A643" s="1" t="s">
        <v>116</v>
      </c>
      <c r="B643" s="1" t="s">
        <v>16</v>
      </c>
      <c r="C643" s="1" t="s">
        <v>67</v>
      </c>
      <c r="D643" s="1" t="s">
        <v>41</v>
      </c>
      <c r="E643" s="1">
        <v>357.51097600000003</v>
      </c>
      <c r="F643" s="1">
        <v>110</v>
      </c>
      <c r="G643" s="1">
        <v>4322</v>
      </c>
      <c r="H643" s="1">
        <v>3.2501000000000002</v>
      </c>
      <c r="I643" s="1">
        <v>2.5451000000000001E-2</v>
      </c>
      <c r="J643" s="1">
        <v>82.718874999999997</v>
      </c>
      <c r="K643" s="1">
        <v>1</v>
      </c>
      <c r="L643" s="1">
        <v>5750</v>
      </c>
      <c r="M643" s="1" t="s">
        <v>31</v>
      </c>
      <c r="N643" s="1" t="s">
        <v>31</v>
      </c>
      <c r="O643" s="1" t="s">
        <v>31</v>
      </c>
      <c r="P643" s="2">
        <f t="shared" ref="P643:P706" si="20">IFERROR(K643/ L643, 0)</f>
        <v>1.7391304347826088E-4</v>
      </c>
      <c r="Q643" s="2">
        <f t="shared" ref="Q643:Q706" si="21">IFERROR(E643/K643, 0)</f>
        <v>357.51097600000003</v>
      </c>
    </row>
    <row r="644" spans="1:17" ht="12.5" x14ac:dyDescent="0.25">
      <c r="A644" s="1" t="s">
        <v>117</v>
      </c>
      <c r="B644" s="1" t="s">
        <v>16</v>
      </c>
      <c r="C644" s="1" t="s">
        <v>67</v>
      </c>
      <c r="D644" s="1" t="s">
        <v>41</v>
      </c>
      <c r="E644" s="1">
        <v>574.19943799999999</v>
      </c>
      <c r="F644" s="1">
        <v>128</v>
      </c>
      <c r="G644" s="1">
        <v>4738</v>
      </c>
      <c r="H644" s="1">
        <v>4.4859330000000002</v>
      </c>
      <c r="I644" s="1">
        <v>2.7015999999999998E-2</v>
      </c>
      <c r="J644" s="1">
        <v>121.190257</v>
      </c>
      <c r="K644" s="1">
        <v>0</v>
      </c>
      <c r="L644" s="1">
        <v>0</v>
      </c>
      <c r="M644" s="1" t="s">
        <v>31</v>
      </c>
      <c r="N644" s="1" t="s">
        <v>31</v>
      </c>
      <c r="O644" s="1" t="s">
        <v>31</v>
      </c>
      <c r="P644" s="2">
        <f t="shared" si="20"/>
        <v>0</v>
      </c>
      <c r="Q644" s="2">
        <f t="shared" si="21"/>
        <v>0</v>
      </c>
    </row>
    <row r="645" spans="1:17" ht="12.5" x14ac:dyDescent="0.25">
      <c r="A645" s="1" t="s">
        <v>118</v>
      </c>
      <c r="B645" s="1" t="s">
        <v>16</v>
      </c>
      <c r="C645" s="1" t="s">
        <v>67</v>
      </c>
      <c r="D645" s="1" t="s">
        <v>41</v>
      </c>
      <c r="E645" s="1">
        <v>467.750585</v>
      </c>
      <c r="F645" s="1">
        <v>172</v>
      </c>
      <c r="G645" s="1">
        <v>7134</v>
      </c>
      <c r="H645" s="1">
        <v>2.7194799999999999</v>
      </c>
      <c r="I645" s="1">
        <v>2.4109999999999999E-2</v>
      </c>
      <c r="J645" s="1">
        <v>65.566383999999999</v>
      </c>
      <c r="K645" s="1">
        <v>0</v>
      </c>
      <c r="L645" s="1">
        <v>0</v>
      </c>
      <c r="M645" s="1" t="s">
        <v>31</v>
      </c>
      <c r="N645" s="1" t="s">
        <v>31</v>
      </c>
      <c r="O645" s="1" t="s">
        <v>31</v>
      </c>
      <c r="P645" s="2">
        <f t="shared" si="20"/>
        <v>0</v>
      </c>
      <c r="Q645" s="2">
        <f t="shared" si="21"/>
        <v>0</v>
      </c>
    </row>
    <row r="646" spans="1:17" ht="12.5" x14ac:dyDescent="0.25">
      <c r="A646" s="1" t="s">
        <v>119</v>
      </c>
      <c r="B646" s="1" t="s">
        <v>16</v>
      </c>
      <c r="C646" s="1" t="s">
        <v>67</v>
      </c>
      <c r="D646" s="1" t="s">
        <v>41</v>
      </c>
      <c r="E646" s="1">
        <v>591.23193800000001</v>
      </c>
      <c r="F646" s="1">
        <v>86</v>
      </c>
      <c r="G646" s="1">
        <v>4531</v>
      </c>
      <c r="H646" s="1">
        <v>6.87479</v>
      </c>
      <c r="I646" s="1">
        <v>1.898E-2</v>
      </c>
      <c r="J646" s="1">
        <v>130.485972</v>
      </c>
      <c r="K646" s="1">
        <v>0</v>
      </c>
      <c r="L646" s="1">
        <v>0</v>
      </c>
      <c r="M646" s="1" t="s">
        <v>31</v>
      </c>
      <c r="N646" s="1" t="s">
        <v>31</v>
      </c>
      <c r="O646" s="1" t="s">
        <v>31</v>
      </c>
      <c r="P646" s="2">
        <f t="shared" si="20"/>
        <v>0</v>
      </c>
      <c r="Q646" s="2">
        <f t="shared" si="21"/>
        <v>0</v>
      </c>
    </row>
    <row r="647" spans="1:17" ht="12.5" x14ac:dyDescent="0.25">
      <c r="A647" s="1" t="s">
        <v>120</v>
      </c>
      <c r="B647" s="1" t="s">
        <v>16</v>
      </c>
      <c r="C647" s="1" t="s">
        <v>67</v>
      </c>
      <c r="D647" s="1" t="s">
        <v>41</v>
      </c>
      <c r="E647" s="1">
        <v>644.35062900000003</v>
      </c>
      <c r="F647" s="1">
        <v>90</v>
      </c>
      <c r="G647" s="1">
        <v>5104</v>
      </c>
      <c r="H647" s="1">
        <v>7.1594509999999998</v>
      </c>
      <c r="I647" s="1">
        <v>1.7632999999999999E-2</v>
      </c>
      <c r="J647" s="1">
        <v>126.24424500000001</v>
      </c>
      <c r="K647" s="1">
        <v>0</v>
      </c>
      <c r="L647" s="1">
        <v>0</v>
      </c>
      <c r="M647" s="1" t="s">
        <v>31</v>
      </c>
      <c r="N647" s="1" t="s">
        <v>31</v>
      </c>
      <c r="O647" s="1" t="s">
        <v>31</v>
      </c>
      <c r="P647" s="2">
        <f t="shared" si="20"/>
        <v>0</v>
      </c>
      <c r="Q647" s="2">
        <f t="shared" si="21"/>
        <v>0</v>
      </c>
    </row>
    <row r="648" spans="1:17" ht="12.5" x14ac:dyDescent="0.25">
      <c r="A648" s="1" t="s">
        <v>121</v>
      </c>
      <c r="B648" s="1" t="s">
        <v>16</v>
      </c>
      <c r="C648" s="1" t="s">
        <v>67</v>
      </c>
      <c r="D648" s="1" t="s">
        <v>41</v>
      </c>
      <c r="E648" s="1">
        <v>294.30653799999999</v>
      </c>
      <c r="F648" s="1">
        <v>102</v>
      </c>
      <c r="G648" s="1">
        <v>4005</v>
      </c>
      <c r="H648" s="1">
        <v>2.8853580000000001</v>
      </c>
      <c r="I648" s="1">
        <v>2.5468000000000001E-2</v>
      </c>
      <c r="J648" s="1">
        <v>73.484779000000003</v>
      </c>
      <c r="K648" s="1">
        <v>0</v>
      </c>
      <c r="L648" s="1">
        <v>0</v>
      </c>
      <c r="M648" s="1" t="s">
        <v>31</v>
      </c>
      <c r="N648" s="1" t="s">
        <v>31</v>
      </c>
      <c r="O648" s="1" t="s">
        <v>31</v>
      </c>
      <c r="P648" s="2">
        <f t="shared" si="20"/>
        <v>0</v>
      </c>
      <c r="Q648" s="2">
        <f t="shared" si="21"/>
        <v>0</v>
      </c>
    </row>
    <row r="649" spans="1:17" ht="12.5" x14ac:dyDescent="0.25">
      <c r="A649" s="1" t="s">
        <v>103</v>
      </c>
      <c r="B649" s="1" t="s">
        <v>16</v>
      </c>
      <c r="C649" s="1" t="s">
        <v>67</v>
      </c>
      <c r="D649" s="1" t="s">
        <v>41</v>
      </c>
      <c r="E649" s="1">
        <v>464.26205299999998</v>
      </c>
      <c r="F649" s="1">
        <v>145</v>
      </c>
      <c r="G649" s="1">
        <v>7157</v>
      </c>
      <c r="H649" s="1">
        <v>3.2018070000000001</v>
      </c>
      <c r="I649" s="1">
        <v>2.026E-2</v>
      </c>
      <c r="J649" s="1">
        <v>64.868247999999994</v>
      </c>
      <c r="K649" s="1">
        <v>0</v>
      </c>
      <c r="L649" s="1">
        <v>0</v>
      </c>
      <c r="M649" s="1" t="s">
        <v>31</v>
      </c>
      <c r="N649" s="1" t="s">
        <v>31</v>
      </c>
      <c r="O649" s="1" t="s">
        <v>31</v>
      </c>
      <c r="P649" s="2">
        <f t="shared" si="20"/>
        <v>0</v>
      </c>
      <c r="Q649" s="2">
        <f t="shared" si="21"/>
        <v>0</v>
      </c>
    </row>
    <row r="650" spans="1:17" ht="12.5" x14ac:dyDescent="0.25">
      <c r="A650" s="1" t="s">
        <v>104</v>
      </c>
      <c r="B650" s="1" t="s">
        <v>16</v>
      </c>
      <c r="C650" s="1" t="s">
        <v>67</v>
      </c>
      <c r="D650" s="1" t="s">
        <v>41</v>
      </c>
      <c r="E650" s="1">
        <v>658.43347100000005</v>
      </c>
      <c r="F650" s="1">
        <v>115</v>
      </c>
      <c r="G650" s="1">
        <v>6657</v>
      </c>
      <c r="H650" s="1">
        <v>5.7255079999999996</v>
      </c>
      <c r="I650" s="1">
        <v>1.7274999999999999E-2</v>
      </c>
      <c r="J650" s="1">
        <v>98.908438000000004</v>
      </c>
      <c r="K650" s="1">
        <v>0.01</v>
      </c>
      <c r="L650" s="1">
        <v>208.072326</v>
      </c>
      <c r="M650" s="1" t="s">
        <v>31</v>
      </c>
      <c r="N650" s="1" t="s">
        <v>31</v>
      </c>
      <c r="O650" s="1" t="s">
        <v>31</v>
      </c>
      <c r="P650" s="2">
        <f t="shared" si="20"/>
        <v>4.8060211524717613E-5</v>
      </c>
      <c r="Q650" s="2">
        <f t="shared" si="21"/>
        <v>65843.347099999999</v>
      </c>
    </row>
    <row r="651" spans="1:17" ht="12.5" x14ac:dyDescent="0.25">
      <c r="A651" s="1" t="s">
        <v>105</v>
      </c>
      <c r="B651" s="1" t="s">
        <v>16</v>
      </c>
      <c r="C651" s="1" t="s">
        <v>67</v>
      </c>
      <c r="D651" s="1" t="s">
        <v>41</v>
      </c>
      <c r="E651" s="1">
        <v>371.87704400000001</v>
      </c>
      <c r="F651" s="1">
        <v>101</v>
      </c>
      <c r="G651" s="1">
        <v>4779</v>
      </c>
      <c r="H651" s="1">
        <v>3.6819510000000002</v>
      </c>
      <c r="I651" s="1">
        <v>2.1134E-2</v>
      </c>
      <c r="J651" s="1">
        <v>77.814824000000002</v>
      </c>
      <c r="K651" s="1">
        <v>0.98</v>
      </c>
      <c r="L651" s="1">
        <v>17442.216789999999</v>
      </c>
      <c r="M651" s="1" t="s">
        <v>31</v>
      </c>
      <c r="N651" s="1" t="s">
        <v>31</v>
      </c>
      <c r="O651" s="1" t="s">
        <v>31</v>
      </c>
      <c r="P651" s="2">
        <f t="shared" si="20"/>
        <v>5.6185518836221278E-5</v>
      </c>
      <c r="Q651" s="2">
        <f t="shared" si="21"/>
        <v>379.46637142857145</v>
      </c>
    </row>
    <row r="652" spans="1:17" ht="12.5" x14ac:dyDescent="0.25">
      <c r="A652" s="1" t="s">
        <v>106</v>
      </c>
      <c r="B652" s="1" t="s">
        <v>16</v>
      </c>
      <c r="C652" s="1" t="s">
        <v>67</v>
      </c>
      <c r="D652" s="1" t="s">
        <v>41</v>
      </c>
      <c r="E652" s="1">
        <v>946.88669700000003</v>
      </c>
      <c r="F652" s="1">
        <v>142</v>
      </c>
      <c r="G652" s="1">
        <v>6990</v>
      </c>
      <c r="H652" s="1">
        <v>6.6682160000000001</v>
      </c>
      <c r="I652" s="1">
        <v>2.0315E-2</v>
      </c>
      <c r="J652" s="1">
        <v>135.46304699999999</v>
      </c>
      <c r="K652" s="1">
        <v>0</v>
      </c>
      <c r="L652" s="1">
        <v>0</v>
      </c>
      <c r="M652" s="1" t="s">
        <v>31</v>
      </c>
      <c r="N652" s="1" t="s">
        <v>31</v>
      </c>
      <c r="O652" s="1" t="s">
        <v>31</v>
      </c>
      <c r="P652" s="2">
        <f t="shared" si="20"/>
        <v>0</v>
      </c>
      <c r="Q652" s="2">
        <f t="shared" si="21"/>
        <v>0</v>
      </c>
    </row>
    <row r="653" spans="1:17" ht="12.5" x14ac:dyDescent="0.25">
      <c r="A653" s="1" t="s">
        <v>107</v>
      </c>
      <c r="B653" s="1" t="s">
        <v>16</v>
      </c>
      <c r="C653" s="1" t="s">
        <v>67</v>
      </c>
      <c r="D653" s="1" t="s">
        <v>41</v>
      </c>
      <c r="E653" s="1">
        <v>1617.9376480000001</v>
      </c>
      <c r="F653" s="1">
        <v>116</v>
      </c>
      <c r="G653" s="1">
        <v>9973</v>
      </c>
      <c r="H653" s="1">
        <v>13.947737999999999</v>
      </c>
      <c r="I653" s="1">
        <v>1.1631000000000001E-2</v>
      </c>
      <c r="J653" s="1">
        <v>162.23179099999999</v>
      </c>
      <c r="K653" s="1">
        <v>0</v>
      </c>
      <c r="L653" s="1">
        <v>0</v>
      </c>
      <c r="M653" s="1" t="s">
        <v>31</v>
      </c>
      <c r="N653" s="1" t="s">
        <v>31</v>
      </c>
      <c r="O653" s="1" t="s">
        <v>31</v>
      </c>
      <c r="P653" s="2">
        <f t="shared" si="20"/>
        <v>0</v>
      </c>
      <c r="Q653" s="2">
        <f t="shared" si="21"/>
        <v>0</v>
      </c>
    </row>
    <row r="654" spans="1:17" ht="12.5" x14ac:dyDescent="0.25">
      <c r="A654" s="1" t="s">
        <v>108</v>
      </c>
      <c r="B654" s="1" t="s">
        <v>16</v>
      </c>
      <c r="C654" s="1" t="s">
        <v>67</v>
      </c>
      <c r="D654" s="1" t="s">
        <v>41</v>
      </c>
      <c r="E654" s="1">
        <v>970.14400999999998</v>
      </c>
      <c r="F654" s="1">
        <v>113</v>
      </c>
      <c r="G654" s="1">
        <v>6158</v>
      </c>
      <c r="H654" s="1">
        <v>8.5853450000000002</v>
      </c>
      <c r="I654" s="1">
        <v>1.8350000000000002E-2</v>
      </c>
      <c r="J654" s="1">
        <v>157.54206099999999</v>
      </c>
      <c r="K654" s="1">
        <v>1</v>
      </c>
      <c r="L654" s="1">
        <v>61259.9</v>
      </c>
      <c r="M654" s="1" t="s">
        <v>31</v>
      </c>
      <c r="N654" s="1" t="s">
        <v>31</v>
      </c>
      <c r="O654" s="1" t="s">
        <v>31</v>
      </c>
      <c r="P654" s="2">
        <f t="shared" si="20"/>
        <v>1.6323892138250308E-5</v>
      </c>
      <c r="Q654" s="2">
        <f t="shared" si="21"/>
        <v>970.14400999999998</v>
      </c>
    </row>
    <row r="655" spans="1:17" ht="12.5" x14ac:dyDescent="0.25">
      <c r="A655" s="1" t="s">
        <v>121</v>
      </c>
      <c r="B655" s="1" t="s">
        <v>16</v>
      </c>
      <c r="C655" s="1" t="s">
        <v>46</v>
      </c>
      <c r="D655" s="1" t="s">
        <v>41</v>
      </c>
      <c r="E655" s="1">
        <v>0.96</v>
      </c>
      <c r="F655" s="1">
        <v>1</v>
      </c>
      <c r="G655" s="1">
        <v>2</v>
      </c>
      <c r="H655" s="1">
        <v>0.96</v>
      </c>
      <c r="I655" s="1">
        <v>0.5</v>
      </c>
      <c r="J655" s="1">
        <v>480</v>
      </c>
      <c r="K655" s="1">
        <v>0</v>
      </c>
      <c r="L655" s="1">
        <v>0</v>
      </c>
      <c r="M655" s="1" t="s">
        <v>43</v>
      </c>
      <c r="N655" s="1" t="s">
        <v>44</v>
      </c>
      <c r="O655" s="1" t="s">
        <v>44</v>
      </c>
      <c r="P655" s="2">
        <f t="shared" si="20"/>
        <v>0</v>
      </c>
      <c r="Q655" s="2">
        <f t="shared" si="21"/>
        <v>0</v>
      </c>
    </row>
    <row r="656" spans="1:17" ht="12.5" x14ac:dyDescent="0.25">
      <c r="A656" s="1" t="s">
        <v>103</v>
      </c>
      <c r="B656" s="1" t="s">
        <v>16</v>
      </c>
      <c r="C656" s="1" t="s">
        <v>46</v>
      </c>
      <c r="D656" s="1" t="s">
        <v>41</v>
      </c>
      <c r="E656" s="1">
        <v>2.87</v>
      </c>
      <c r="F656" s="1">
        <v>2</v>
      </c>
      <c r="G656" s="1">
        <v>3</v>
      </c>
      <c r="H656" s="1">
        <v>1.4350000000000001</v>
      </c>
      <c r="I656" s="1">
        <v>0.66666700000000001</v>
      </c>
      <c r="J656" s="1">
        <v>956.66666699999996</v>
      </c>
      <c r="K656" s="1">
        <v>0</v>
      </c>
      <c r="L656" s="1">
        <v>0</v>
      </c>
      <c r="M656" s="1" t="s">
        <v>43</v>
      </c>
      <c r="N656" s="1" t="s">
        <v>44</v>
      </c>
      <c r="O656" s="1" t="s">
        <v>44</v>
      </c>
      <c r="P656" s="2">
        <f t="shared" si="20"/>
        <v>0</v>
      </c>
      <c r="Q656" s="2">
        <f t="shared" si="21"/>
        <v>0</v>
      </c>
    </row>
    <row r="657" spans="1:17" ht="12.5" x14ac:dyDescent="0.25">
      <c r="A657" s="1" t="s">
        <v>104</v>
      </c>
      <c r="B657" s="1" t="s">
        <v>16</v>
      </c>
      <c r="C657" s="1" t="s">
        <v>46</v>
      </c>
      <c r="D657" s="1" t="s">
        <v>41</v>
      </c>
      <c r="E657" s="1">
        <v>184.332775</v>
      </c>
      <c r="F657" s="1">
        <v>4</v>
      </c>
      <c r="G657" s="1">
        <v>8</v>
      </c>
      <c r="H657" s="1">
        <v>46.083193999999999</v>
      </c>
      <c r="I657" s="1">
        <v>0.5</v>
      </c>
      <c r="J657" s="1">
        <v>23041.596880000001</v>
      </c>
      <c r="K657" s="1">
        <v>0</v>
      </c>
      <c r="L657" s="1">
        <v>0</v>
      </c>
      <c r="M657" s="1" t="s">
        <v>43</v>
      </c>
      <c r="N657" s="1" t="s">
        <v>44</v>
      </c>
      <c r="O657" s="1" t="s">
        <v>44</v>
      </c>
      <c r="P657" s="2">
        <f t="shared" si="20"/>
        <v>0</v>
      </c>
      <c r="Q657" s="2">
        <f t="shared" si="21"/>
        <v>0</v>
      </c>
    </row>
    <row r="658" spans="1:17" ht="12.5" x14ac:dyDescent="0.25">
      <c r="A658" s="1" t="s">
        <v>105</v>
      </c>
      <c r="B658" s="1" t="s">
        <v>16</v>
      </c>
      <c r="C658" s="1" t="s">
        <v>46</v>
      </c>
      <c r="D658" s="1" t="s">
        <v>41</v>
      </c>
      <c r="E658" s="1">
        <v>935.14597800000001</v>
      </c>
      <c r="F658" s="1">
        <v>8</v>
      </c>
      <c r="G658" s="1">
        <v>14</v>
      </c>
      <c r="H658" s="1">
        <v>116.893247</v>
      </c>
      <c r="I658" s="1">
        <v>0.57142899999999996</v>
      </c>
      <c r="J658" s="1">
        <v>66796.14129</v>
      </c>
      <c r="K658" s="1">
        <v>0</v>
      </c>
      <c r="L658" s="1">
        <v>0</v>
      </c>
      <c r="M658" s="1" t="s">
        <v>43</v>
      </c>
      <c r="N658" s="1" t="s">
        <v>44</v>
      </c>
      <c r="O658" s="1" t="s">
        <v>44</v>
      </c>
      <c r="P658" s="2">
        <f t="shared" si="20"/>
        <v>0</v>
      </c>
      <c r="Q658" s="2">
        <f t="shared" si="21"/>
        <v>0</v>
      </c>
    </row>
    <row r="659" spans="1:17" ht="12.5" x14ac:dyDescent="0.25">
      <c r="A659" s="1" t="s">
        <v>106</v>
      </c>
      <c r="B659" s="1" t="s">
        <v>16</v>
      </c>
      <c r="C659" s="1" t="s">
        <v>46</v>
      </c>
      <c r="D659" s="1" t="s">
        <v>41</v>
      </c>
      <c r="E659" s="1">
        <v>290.14</v>
      </c>
      <c r="F659" s="1">
        <v>12</v>
      </c>
      <c r="G659" s="1">
        <v>16</v>
      </c>
      <c r="H659" s="1">
        <v>24.178332999999999</v>
      </c>
      <c r="I659" s="1">
        <v>0.75</v>
      </c>
      <c r="J659" s="1">
        <v>18133.75</v>
      </c>
      <c r="K659" s="1">
        <v>0</v>
      </c>
      <c r="L659" s="1">
        <v>0</v>
      </c>
      <c r="M659" s="1" t="s">
        <v>43</v>
      </c>
      <c r="N659" s="1" t="s">
        <v>44</v>
      </c>
      <c r="O659" s="1" t="s">
        <v>44</v>
      </c>
      <c r="P659" s="2">
        <f t="shared" si="20"/>
        <v>0</v>
      </c>
      <c r="Q659" s="2">
        <f t="shared" si="21"/>
        <v>0</v>
      </c>
    </row>
    <row r="660" spans="1:17" ht="12.5" x14ac:dyDescent="0.25">
      <c r="A660" s="1" t="s">
        <v>107</v>
      </c>
      <c r="B660" s="1" t="s">
        <v>16</v>
      </c>
      <c r="C660" s="1" t="s">
        <v>46</v>
      </c>
      <c r="D660" s="1" t="s">
        <v>41</v>
      </c>
      <c r="E660" s="1">
        <v>26.660025000000001</v>
      </c>
      <c r="F660" s="1">
        <v>7</v>
      </c>
      <c r="G660" s="1">
        <v>11</v>
      </c>
      <c r="H660" s="1">
        <v>3.8085749999999998</v>
      </c>
      <c r="I660" s="1">
        <v>0.63636400000000004</v>
      </c>
      <c r="J660" s="1">
        <v>2423.6386360000001</v>
      </c>
      <c r="K660" s="1">
        <v>0</v>
      </c>
      <c r="L660" s="1">
        <v>0</v>
      </c>
      <c r="M660" s="1" t="s">
        <v>43</v>
      </c>
      <c r="N660" s="1" t="s">
        <v>44</v>
      </c>
      <c r="O660" s="1" t="s">
        <v>44</v>
      </c>
      <c r="P660" s="2">
        <f t="shared" si="20"/>
        <v>0</v>
      </c>
      <c r="Q660" s="2">
        <f t="shared" si="21"/>
        <v>0</v>
      </c>
    </row>
    <row r="661" spans="1:17" ht="12.5" x14ac:dyDescent="0.25">
      <c r="A661" s="1" t="s">
        <v>108</v>
      </c>
      <c r="B661" s="1" t="s">
        <v>16</v>
      </c>
      <c r="C661" s="1" t="s">
        <v>46</v>
      </c>
      <c r="D661" s="1" t="s">
        <v>41</v>
      </c>
      <c r="E661" s="1">
        <v>1409.873564</v>
      </c>
      <c r="F661" s="1">
        <v>7</v>
      </c>
      <c r="G661" s="1">
        <v>13</v>
      </c>
      <c r="H661" s="1">
        <v>201.41050899999999</v>
      </c>
      <c r="I661" s="1">
        <v>0.538462</v>
      </c>
      <c r="J661" s="1">
        <v>108451.8126</v>
      </c>
      <c r="K661" s="1">
        <v>0.53</v>
      </c>
      <c r="L661" s="1">
        <v>11003.918309999999</v>
      </c>
      <c r="M661" s="1" t="s">
        <v>43</v>
      </c>
      <c r="N661" s="1" t="s">
        <v>44</v>
      </c>
      <c r="O661" s="1" t="s">
        <v>44</v>
      </c>
      <c r="P661" s="2">
        <f t="shared" si="20"/>
        <v>4.8164661447763879E-5</v>
      </c>
      <c r="Q661" s="2">
        <f t="shared" si="21"/>
        <v>2660.1387999999997</v>
      </c>
    </row>
    <row r="662" spans="1:17" ht="12.5" x14ac:dyDescent="0.25">
      <c r="A662" s="3">
        <v>46029</v>
      </c>
      <c r="B662" s="1" t="s">
        <v>16</v>
      </c>
      <c r="C662" s="1" t="s">
        <v>46</v>
      </c>
      <c r="D662" s="1" t="s">
        <v>41</v>
      </c>
      <c r="E662" s="1">
        <v>542.28</v>
      </c>
      <c r="F662" s="1">
        <v>2</v>
      </c>
      <c r="G662" s="1">
        <v>6</v>
      </c>
      <c r="H662" s="1">
        <v>271.14</v>
      </c>
      <c r="I662" s="1">
        <v>0.33333299999999999</v>
      </c>
      <c r="J662" s="1">
        <v>90380</v>
      </c>
      <c r="K662" s="1">
        <v>0</v>
      </c>
      <c r="L662" s="1">
        <v>0</v>
      </c>
      <c r="M662" s="1" t="s">
        <v>19</v>
      </c>
      <c r="N662" s="1" t="s">
        <v>47</v>
      </c>
      <c r="O662" s="1" t="s">
        <v>47</v>
      </c>
      <c r="P662" s="2">
        <f t="shared" si="20"/>
        <v>0</v>
      </c>
      <c r="Q662" s="2">
        <f t="shared" si="21"/>
        <v>0</v>
      </c>
    </row>
    <row r="663" spans="1:17" ht="12.5" x14ac:dyDescent="0.25">
      <c r="A663" s="3">
        <v>46119</v>
      </c>
      <c r="B663" s="1" t="s">
        <v>16</v>
      </c>
      <c r="C663" s="1" t="s">
        <v>46</v>
      </c>
      <c r="D663" s="1" t="s">
        <v>41</v>
      </c>
      <c r="E663" s="1">
        <v>32.4</v>
      </c>
      <c r="F663" s="1">
        <v>3</v>
      </c>
      <c r="G663" s="1">
        <v>8</v>
      </c>
      <c r="H663" s="1">
        <v>10.8</v>
      </c>
      <c r="I663" s="1">
        <v>0.375</v>
      </c>
      <c r="J663" s="1">
        <v>4050</v>
      </c>
      <c r="K663" s="1">
        <v>0</v>
      </c>
      <c r="L663" s="1">
        <v>0</v>
      </c>
      <c r="M663" s="1" t="s">
        <v>19</v>
      </c>
      <c r="N663" s="1" t="s">
        <v>47</v>
      </c>
      <c r="O663" s="1" t="s">
        <v>47</v>
      </c>
      <c r="P663" s="2">
        <f t="shared" si="20"/>
        <v>0</v>
      </c>
      <c r="Q663" s="2">
        <f t="shared" si="21"/>
        <v>0</v>
      </c>
    </row>
    <row r="664" spans="1:17" ht="12.5" x14ac:dyDescent="0.25">
      <c r="A664" s="3">
        <v>46149</v>
      </c>
      <c r="B664" s="1" t="s">
        <v>16</v>
      </c>
      <c r="C664" s="1" t="s">
        <v>46</v>
      </c>
      <c r="D664" s="1" t="s">
        <v>41</v>
      </c>
      <c r="E664" s="1">
        <v>8.64</v>
      </c>
      <c r="F664" s="1">
        <v>6</v>
      </c>
      <c r="G664" s="1">
        <v>16</v>
      </c>
      <c r="H664" s="1">
        <v>1.44</v>
      </c>
      <c r="I664" s="1">
        <v>0.375</v>
      </c>
      <c r="J664" s="1">
        <v>540</v>
      </c>
      <c r="K664" s="1">
        <v>0</v>
      </c>
      <c r="L664" s="1">
        <v>0</v>
      </c>
      <c r="M664" s="1" t="s">
        <v>19</v>
      </c>
      <c r="N664" s="1" t="s">
        <v>47</v>
      </c>
      <c r="O664" s="1" t="s">
        <v>47</v>
      </c>
      <c r="P664" s="2">
        <f t="shared" si="20"/>
        <v>0</v>
      </c>
      <c r="Q664" s="2">
        <f t="shared" si="21"/>
        <v>0</v>
      </c>
    </row>
    <row r="665" spans="1:17" ht="12.5" x14ac:dyDescent="0.25">
      <c r="A665" s="3">
        <v>46180</v>
      </c>
      <c r="B665" s="1" t="s">
        <v>16</v>
      </c>
      <c r="C665" s="1" t="s">
        <v>46</v>
      </c>
      <c r="D665" s="1" t="s">
        <v>41</v>
      </c>
      <c r="E665" s="1">
        <v>6.65</v>
      </c>
      <c r="F665" s="1">
        <v>5</v>
      </c>
      <c r="G665" s="1">
        <v>14</v>
      </c>
      <c r="H665" s="1">
        <v>1.33</v>
      </c>
      <c r="I665" s="1">
        <v>0.35714299999999999</v>
      </c>
      <c r="J665" s="1">
        <v>475</v>
      </c>
      <c r="K665" s="1">
        <v>0</v>
      </c>
      <c r="L665" s="1">
        <v>0</v>
      </c>
      <c r="M665" s="1" t="s">
        <v>19</v>
      </c>
      <c r="N665" s="1" t="s">
        <v>47</v>
      </c>
      <c r="O665" s="1" t="s">
        <v>47</v>
      </c>
      <c r="P665" s="2">
        <f t="shared" si="20"/>
        <v>0</v>
      </c>
      <c r="Q665" s="2">
        <f t="shared" si="21"/>
        <v>0</v>
      </c>
    </row>
    <row r="666" spans="1:17" ht="12.5" x14ac:dyDescent="0.25">
      <c r="A666" s="3">
        <v>46210</v>
      </c>
      <c r="B666" s="1" t="s">
        <v>16</v>
      </c>
      <c r="C666" s="1" t="s">
        <v>46</v>
      </c>
      <c r="D666" s="1" t="s">
        <v>41</v>
      </c>
      <c r="E666" s="1">
        <v>4.8599309999999996</v>
      </c>
      <c r="F666" s="1">
        <v>4</v>
      </c>
      <c r="G666" s="1">
        <v>8</v>
      </c>
      <c r="H666" s="1">
        <v>1.2149829999999999</v>
      </c>
      <c r="I666" s="1">
        <v>0.5</v>
      </c>
      <c r="J666" s="1">
        <v>607.49137499999995</v>
      </c>
      <c r="K666" s="1">
        <v>1</v>
      </c>
      <c r="L666" s="1">
        <v>23280</v>
      </c>
      <c r="M666" s="1" t="s">
        <v>19</v>
      </c>
      <c r="N666" s="1" t="s">
        <v>47</v>
      </c>
      <c r="O666" s="1" t="s">
        <v>47</v>
      </c>
      <c r="P666" s="2">
        <f t="shared" si="20"/>
        <v>4.2955326460481103E-5</v>
      </c>
      <c r="Q666" s="2">
        <f t="shared" si="21"/>
        <v>4.8599309999999996</v>
      </c>
    </row>
    <row r="667" spans="1:17" ht="12.5" x14ac:dyDescent="0.25">
      <c r="A667" s="3">
        <v>46241</v>
      </c>
      <c r="B667" s="1" t="s">
        <v>16</v>
      </c>
      <c r="C667" s="1" t="s">
        <v>46</v>
      </c>
      <c r="D667" s="1" t="s">
        <v>41</v>
      </c>
      <c r="E667" s="1">
        <v>1.33</v>
      </c>
      <c r="F667" s="1">
        <v>1</v>
      </c>
      <c r="G667" s="1">
        <v>4</v>
      </c>
      <c r="H667" s="1">
        <v>1.33</v>
      </c>
      <c r="I667" s="1">
        <v>0.25</v>
      </c>
      <c r="J667" s="1">
        <v>332.5</v>
      </c>
      <c r="K667" s="1">
        <v>0</v>
      </c>
      <c r="L667" s="1">
        <v>0</v>
      </c>
      <c r="M667" s="1" t="s">
        <v>19</v>
      </c>
      <c r="N667" s="1" t="s">
        <v>47</v>
      </c>
      <c r="O667" s="1" t="s">
        <v>47</v>
      </c>
      <c r="P667" s="2">
        <f t="shared" si="20"/>
        <v>0</v>
      </c>
      <c r="Q667" s="2">
        <f t="shared" si="21"/>
        <v>0</v>
      </c>
    </row>
    <row r="668" spans="1:17" ht="12.5" x14ac:dyDescent="0.25">
      <c r="A668" s="3">
        <v>46272</v>
      </c>
      <c r="B668" s="1" t="s">
        <v>16</v>
      </c>
      <c r="C668" s="1" t="s">
        <v>46</v>
      </c>
      <c r="D668" s="1" t="s">
        <v>41</v>
      </c>
      <c r="E668" s="1">
        <v>1.33</v>
      </c>
      <c r="F668" s="1">
        <v>1</v>
      </c>
      <c r="G668" s="1">
        <v>2</v>
      </c>
      <c r="H668" s="1">
        <v>1.33</v>
      </c>
      <c r="I668" s="1">
        <v>0.5</v>
      </c>
      <c r="J668" s="1">
        <v>665</v>
      </c>
      <c r="K668" s="1">
        <v>0</v>
      </c>
      <c r="L668" s="1">
        <v>0</v>
      </c>
      <c r="M668" s="1" t="s">
        <v>19</v>
      </c>
      <c r="N668" s="1" t="s">
        <v>47</v>
      </c>
      <c r="O668" s="1" t="s">
        <v>47</v>
      </c>
      <c r="P668" s="2">
        <f t="shared" si="20"/>
        <v>0</v>
      </c>
      <c r="Q668" s="2">
        <f t="shared" si="21"/>
        <v>0</v>
      </c>
    </row>
    <row r="669" spans="1:17" ht="12.5" x14ac:dyDescent="0.25">
      <c r="A669" s="3">
        <v>46302</v>
      </c>
      <c r="B669" s="1" t="s">
        <v>16</v>
      </c>
      <c r="C669" s="1" t="s">
        <v>46</v>
      </c>
      <c r="D669" s="1" t="s">
        <v>41</v>
      </c>
      <c r="E669" s="1">
        <v>82.797920000000005</v>
      </c>
      <c r="F669" s="1">
        <v>3</v>
      </c>
      <c r="G669" s="1">
        <v>11</v>
      </c>
      <c r="H669" s="1">
        <v>27.599307</v>
      </c>
      <c r="I669" s="1">
        <v>0.272727</v>
      </c>
      <c r="J669" s="1">
        <v>7527.0836360000003</v>
      </c>
      <c r="K669" s="1">
        <v>0</v>
      </c>
      <c r="L669" s="1">
        <v>0</v>
      </c>
      <c r="M669" s="1" t="s">
        <v>19</v>
      </c>
      <c r="N669" s="1" t="s">
        <v>47</v>
      </c>
      <c r="O669" s="1" t="s">
        <v>47</v>
      </c>
      <c r="P669" s="2">
        <f t="shared" si="20"/>
        <v>0</v>
      </c>
      <c r="Q669" s="2">
        <f t="shared" si="21"/>
        <v>0</v>
      </c>
    </row>
    <row r="670" spans="1:17" ht="12.5" x14ac:dyDescent="0.25">
      <c r="A670" s="3">
        <v>46333</v>
      </c>
      <c r="B670" s="1" t="s">
        <v>16</v>
      </c>
      <c r="C670" s="1" t="s">
        <v>46</v>
      </c>
      <c r="D670" s="1" t="s">
        <v>41</v>
      </c>
      <c r="E670" s="1">
        <v>260.08385600000003</v>
      </c>
      <c r="F670" s="1">
        <v>5</v>
      </c>
      <c r="G670" s="1">
        <v>12</v>
      </c>
      <c r="H670" s="1">
        <v>52.016770999999999</v>
      </c>
      <c r="I670" s="1">
        <v>0.41666700000000001</v>
      </c>
      <c r="J670" s="1">
        <v>21673.65467</v>
      </c>
      <c r="K670" s="1">
        <v>0</v>
      </c>
      <c r="L670" s="1">
        <v>0</v>
      </c>
      <c r="M670" s="1" t="s">
        <v>19</v>
      </c>
      <c r="N670" s="1" t="s">
        <v>47</v>
      </c>
      <c r="O670" s="1" t="s">
        <v>47</v>
      </c>
      <c r="P670" s="2">
        <f t="shared" si="20"/>
        <v>0</v>
      </c>
      <c r="Q670" s="2">
        <f t="shared" si="21"/>
        <v>0</v>
      </c>
    </row>
    <row r="671" spans="1:17" ht="12.5" x14ac:dyDescent="0.25">
      <c r="A671" s="3">
        <v>46363</v>
      </c>
      <c r="B671" s="1" t="s">
        <v>16</v>
      </c>
      <c r="C671" s="1" t="s">
        <v>46</v>
      </c>
      <c r="D671" s="1" t="s">
        <v>41</v>
      </c>
      <c r="E671" s="1">
        <v>5.32</v>
      </c>
      <c r="F671" s="1">
        <v>4</v>
      </c>
      <c r="G671" s="1">
        <v>9</v>
      </c>
      <c r="H671" s="1">
        <v>1.33</v>
      </c>
      <c r="I671" s="1">
        <v>0.44444400000000001</v>
      </c>
      <c r="J671" s="1">
        <v>591.11111100000005</v>
      </c>
      <c r="K671" s="1">
        <v>0</v>
      </c>
      <c r="L671" s="1">
        <v>0</v>
      </c>
      <c r="M671" s="1" t="s">
        <v>19</v>
      </c>
      <c r="N671" s="1" t="s">
        <v>47</v>
      </c>
      <c r="O671" s="1" t="s">
        <v>47</v>
      </c>
      <c r="P671" s="2">
        <f t="shared" si="20"/>
        <v>0</v>
      </c>
      <c r="Q671" s="2">
        <f t="shared" si="21"/>
        <v>0</v>
      </c>
    </row>
    <row r="672" spans="1:17" ht="12.5" x14ac:dyDescent="0.25">
      <c r="A672" s="1" t="s">
        <v>122</v>
      </c>
      <c r="B672" s="1" t="s">
        <v>16</v>
      </c>
      <c r="C672" s="1" t="s">
        <v>46</v>
      </c>
      <c r="D672" s="1" t="s">
        <v>41</v>
      </c>
      <c r="E672" s="1">
        <v>4.05</v>
      </c>
      <c r="F672" s="1">
        <v>3</v>
      </c>
      <c r="G672" s="1">
        <v>4</v>
      </c>
      <c r="H672" s="1">
        <v>1.35</v>
      </c>
      <c r="I672" s="1">
        <v>0.75</v>
      </c>
      <c r="J672" s="1">
        <v>1012.5</v>
      </c>
      <c r="K672" s="1">
        <v>0</v>
      </c>
      <c r="L672" s="1">
        <v>0</v>
      </c>
      <c r="M672" s="1" t="s">
        <v>19</v>
      </c>
      <c r="N672" s="1" t="s">
        <v>47</v>
      </c>
      <c r="O672" s="1" t="s">
        <v>47</v>
      </c>
      <c r="P672" s="2">
        <f t="shared" si="20"/>
        <v>0</v>
      </c>
      <c r="Q672" s="2">
        <f t="shared" si="21"/>
        <v>0</v>
      </c>
    </row>
    <row r="673" spans="1:17" ht="12.5" x14ac:dyDescent="0.25">
      <c r="A673" s="1" t="s">
        <v>123</v>
      </c>
      <c r="B673" s="1" t="s">
        <v>16</v>
      </c>
      <c r="C673" s="1" t="s">
        <v>46</v>
      </c>
      <c r="D673" s="1" t="s">
        <v>41</v>
      </c>
      <c r="E673" s="1">
        <v>9.4499999999999993</v>
      </c>
      <c r="F673" s="1">
        <v>2</v>
      </c>
      <c r="G673" s="1">
        <v>7</v>
      </c>
      <c r="H673" s="1">
        <v>4.7249999999999996</v>
      </c>
      <c r="I673" s="1">
        <v>0.28571400000000002</v>
      </c>
      <c r="J673" s="1">
        <v>1350</v>
      </c>
      <c r="K673" s="1">
        <v>0</v>
      </c>
      <c r="L673" s="1">
        <v>0</v>
      </c>
      <c r="M673" s="1" t="s">
        <v>19</v>
      </c>
      <c r="N673" s="1" t="s">
        <v>47</v>
      </c>
      <c r="O673" s="1" t="s">
        <v>47</v>
      </c>
      <c r="P673" s="2">
        <f t="shared" si="20"/>
        <v>0</v>
      </c>
      <c r="Q673" s="2">
        <f t="shared" si="21"/>
        <v>0</v>
      </c>
    </row>
    <row r="674" spans="1:17" ht="12.5" x14ac:dyDescent="0.25">
      <c r="A674" s="1" t="s">
        <v>124</v>
      </c>
      <c r="B674" s="1" t="s">
        <v>16</v>
      </c>
      <c r="C674" s="1" t="s">
        <v>46</v>
      </c>
      <c r="D674" s="1" t="s">
        <v>41</v>
      </c>
      <c r="E674" s="1">
        <v>11.081073999999999</v>
      </c>
      <c r="F674" s="1">
        <v>4</v>
      </c>
      <c r="G674" s="1">
        <v>10</v>
      </c>
      <c r="H674" s="1">
        <v>2.7702689999999999</v>
      </c>
      <c r="I674" s="1">
        <v>0.4</v>
      </c>
      <c r="J674" s="1">
        <v>1108.1074000000001</v>
      </c>
      <c r="K674" s="1">
        <v>0</v>
      </c>
      <c r="L674" s="1">
        <v>0</v>
      </c>
      <c r="M674" s="1" t="s">
        <v>19</v>
      </c>
      <c r="N674" s="1" t="s">
        <v>47</v>
      </c>
      <c r="O674" s="1" t="s">
        <v>47</v>
      </c>
      <c r="P674" s="2">
        <f t="shared" si="20"/>
        <v>0</v>
      </c>
      <c r="Q674" s="2">
        <f t="shared" si="21"/>
        <v>0</v>
      </c>
    </row>
    <row r="675" spans="1:17" ht="12.5" x14ac:dyDescent="0.25">
      <c r="A675" s="1" t="s">
        <v>125</v>
      </c>
      <c r="B675" s="1" t="s">
        <v>16</v>
      </c>
      <c r="C675" s="1" t="s">
        <v>46</v>
      </c>
      <c r="D675" s="1" t="s">
        <v>41</v>
      </c>
      <c r="E675" s="1">
        <v>26.054867999999999</v>
      </c>
      <c r="F675" s="1">
        <v>4</v>
      </c>
      <c r="G675" s="1">
        <v>11</v>
      </c>
      <c r="H675" s="1">
        <v>6.5137169999999998</v>
      </c>
      <c r="I675" s="1">
        <v>0.36363600000000001</v>
      </c>
      <c r="J675" s="1">
        <v>2368.6243639999998</v>
      </c>
      <c r="K675" s="1">
        <v>0</v>
      </c>
      <c r="L675" s="1">
        <v>0</v>
      </c>
      <c r="M675" s="1" t="s">
        <v>19</v>
      </c>
      <c r="N675" s="1" t="s">
        <v>47</v>
      </c>
      <c r="O675" s="1" t="s">
        <v>47</v>
      </c>
      <c r="P675" s="2">
        <f t="shared" si="20"/>
        <v>0</v>
      </c>
      <c r="Q675" s="2">
        <f t="shared" si="21"/>
        <v>0</v>
      </c>
    </row>
    <row r="676" spans="1:17" ht="12.5" x14ac:dyDescent="0.25">
      <c r="A676" s="1" t="s">
        <v>126</v>
      </c>
      <c r="B676" s="1" t="s">
        <v>16</v>
      </c>
      <c r="C676" s="1" t="s">
        <v>46</v>
      </c>
      <c r="D676" s="1" t="s">
        <v>41</v>
      </c>
      <c r="E676" s="1">
        <v>10.203016</v>
      </c>
      <c r="F676" s="1">
        <v>2</v>
      </c>
      <c r="G676" s="1">
        <v>6</v>
      </c>
      <c r="H676" s="1">
        <v>5.1015079999999999</v>
      </c>
      <c r="I676" s="1">
        <v>0.33333299999999999</v>
      </c>
      <c r="J676" s="1">
        <v>1700.502667</v>
      </c>
      <c r="K676" s="1">
        <v>0</v>
      </c>
      <c r="L676" s="1">
        <v>0</v>
      </c>
      <c r="M676" s="1" t="s">
        <v>19</v>
      </c>
      <c r="N676" s="1" t="s">
        <v>47</v>
      </c>
      <c r="O676" s="1" t="s">
        <v>47</v>
      </c>
      <c r="P676" s="2">
        <f t="shared" si="20"/>
        <v>0</v>
      </c>
      <c r="Q676" s="2">
        <f t="shared" si="21"/>
        <v>0</v>
      </c>
    </row>
    <row r="677" spans="1:17" ht="12.5" x14ac:dyDescent="0.25">
      <c r="A677" s="1" t="s">
        <v>127</v>
      </c>
      <c r="B677" s="1" t="s">
        <v>16</v>
      </c>
      <c r="C677" s="1" t="s">
        <v>46</v>
      </c>
      <c r="D677" s="1" t="s">
        <v>41</v>
      </c>
      <c r="E677" s="1">
        <v>2.9581840000000001</v>
      </c>
      <c r="F677" s="1">
        <v>3</v>
      </c>
      <c r="G677" s="1">
        <v>6</v>
      </c>
      <c r="H677" s="1">
        <v>0.98606099999999997</v>
      </c>
      <c r="I677" s="1">
        <v>0.5</v>
      </c>
      <c r="J677" s="1">
        <v>493.03066699999999</v>
      </c>
      <c r="K677" s="1">
        <v>0</v>
      </c>
      <c r="L677" s="1">
        <v>0</v>
      </c>
      <c r="M677" s="1" t="s">
        <v>19</v>
      </c>
      <c r="N677" s="1" t="s">
        <v>47</v>
      </c>
      <c r="O677" s="1" t="s">
        <v>47</v>
      </c>
      <c r="P677" s="2">
        <f t="shared" si="20"/>
        <v>0</v>
      </c>
      <c r="Q677" s="2">
        <f t="shared" si="21"/>
        <v>0</v>
      </c>
    </row>
    <row r="678" spans="1:17" ht="12.5" x14ac:dyDescent="0.25">
      <c r="A678" s="1" t="s">
        <v>128</v>
      </c>
      <c r="B678" s="1" t="s">
        <v>16</v>
      </c>
      <c r="C678" s="1" t="s">
        <v>46</v>
      </c>
      <c r="D678" s="1" t="s">
        <v>41</v>
      </c>
      <c r="E678" s="1">
        <v>4.1387510000000001</v>
      </c>
      <c r="F678" s="1">
        <v>4</v>
      </c>
      <c r="G678" s="1">
        <v>6</v>
      </c>
      <c r="H678" s="1">
        <v>1.0346880000000001</v>
      </c>
      <c r="I678" s="1">
        <v>0.66666700000000001</v>
      </c>
      <c r="J678" s="1">
        <v>689.791833</v>
      </c>
      <c r="K678" s="1">
        <v>0</v>
      </c>
      <c r="L678" s="1">
        <v>0</v>
      </c>
      <c r="M678" s="1" t="s">
        <v>19</v>
      </c>
      <c r="N678" s="1" t="s">
        <v>47</v>
      </c>
      <c r="O678" s="1" t="s">
        <v>47</v>
      </c>
      <c r="P678" s="2">
        <f t="shared" si="20"/>
        <v>0</v>
      </c>
      <c r="Q678" s="2">
        <f t="shared" si="21"/>
        <v>0</v>
      </c>
    </row>
    <row r="679" spans="1:17" ht="12.5" x14ac:dyDescent="0.25">
      <c r="A679" s="1" t="s">
        <v>129</v>
      </c>
      <c r="B679" s="1" t="s">
        <v>16</v>
      </c>
      <c r="C679" s="1" t="s">
        <v>46</v>
      </c>
      <c r="D679" s="1" t="s">
        <v>41</v>
      </c>
      <c r="E679" s="1">
        <v>20.107990000000001</v>
      </c>
      <c r="F679" s="1">
        <v>4</v>
      </c>
      <c r="G679" s="1">
        <v>9</v>
      </c>
      <c r="H679" s="1">
        <v>5.0269979999999999</v>
      </c>
      <c r="I679" s="1">
        <v>0.44444400000000001</v>
      </c>
      <c r="J679" s="1">
        <v>2234.2211109999998</v>
      </c>
      <c r="K679" s="1">
        <v>0</v>
      </c>
      <c r="L679" s="1">
        <v>0</v>
      </c>
      <c r="M679" s="1" t="s">
        <v>19</v>
      </c>
      <c r="N679" s="1" t="s">
        <v>47</v>
      </c>
      <c r="O679" s="1" t="s">
        <v>47</v>
      </c>
      <c r="P679" s="2">
        <f t="shared" si="20"/>
        <v>0</v>
      </c>
      <c r="Q679" s="2">
        <f t="shared" si="21"/>
        <v>0</v>
      </c>
    </row>
    <row r="680" spans="1:17" ht="12.5" x14ac:dyDescent="0.25">
      <c r="A680" s="1" t="s">
        <v>130</v>
      </c>
      <c r="B680" s="1" t="s">
        <v>16</v>
      </c>
      <c r="C680" s="1" t="s">
        <v>46</v>
      </c>
      <c r="D680" s="1" t="s">
        <v>41</v>
      </c>
      <c r="E680" s="1">
        <v>1.35</v>
      </c>
      <c r="F680" s="1">
        <v>1</v>
      </c>
      <c r="G680" s="1">
        <v>3</v>
      </c>
      <c r="H680" s="1">
        <v>1.35</v>
      </c>
      <c r="I680" s="1">
        <v>0.33333299999999999</v>
      </c>
      <c r="J680" s="1">
        <v>450</v>
      </c>
      <c r="K680" s="1">
        <v>0</v>
      </c>
      <c r="L680" s="1">
        <v>0</v>
      </c>
      <c r="M680" s="1" t="s">
        <v>19</v>
      </c>
      <c r="N680" s="1" t="s">
        <v>47</v>
      </c>
      <c r="O680" s="1" t="s">
        <v>47</v>
      </c>
      <c r="P680" s="2">
        <f t="shared" si="20"/>
        <v>0</v>
      </c>
      <c r="Q680" s="2">
        <f t="shared" si="21"/>
        <v>0</v>
      </c>
    </row>
    <row r="681" spans="1:17" ht="12.5" x14ac:dyDescent="0.25">
      <c r="A681" s="1" t="s">
        <v>131</v>
      </c>
      <c r="B681" s="1" t="s">
        <v>16</v>
      </c>
      <c r="C681" s="1" t="s">
        <v>46</v>
      </c>
      <c r="D681" s="1" t="s">
        <v>41</v>
      </c>
      <c r="E681" s="1">
        <v>1.35</v>
      </c>
      <c r="F681" s="1">
        <v>1</v>
      </c>
      <c r="G681" s="1">
        <v>1</v>
      </c>
      <c r="H681" s="1">
        <v>1.35</v>
      </c>
      <c r="I681" s="1">
        <v>1</v>
      </c>
      <c r="J681" s="1">
        <v>1350</v>
      </c>
      <c r="K681" s="1">
        <v>0</v>
      </c>
      <c r="L681" s="1">
        <v>0</v>
      </c>
      <c r="M681" s="1" t="s">
        <v>19</v>
      </c>
      <c r="N681" s="1" t="s">
        <v>47</v>
      </c>
      <c r="O681" s="1" t="s">
        <v>47</v>
      </c>
      <c r="P681" s="2">
        <f t="shared" si="20"/>
        <v>0</v>
      </c>
      <c r="Q681" s="2">
        <f t="shared" si="21"/>
        <v>0</v>
      </c>
    </row>
    <row r="682" spans="1:17" ht="12.5" x14ac:dyDescent="0.25">
      <c r="A682" s="1" t="s">
        <v>132</v>
      </c>
      <c r="B682" s="1" t="s">
        <v>16</v>
      </c>
      <c r="C682" s="1" t="s">
        <v>46</v>
      </c>
      <c r="D682" s="1" t="s">
        <v>41</v>
      </c>
      <c r="E682" s="1">
        <v>13.862105</v>
      </c>
      <c r="F682" s="1">
        <v>5</v>
      </c>
      <c r="G682" s="1">
        <v>11</v>
      </c>
      <c r="H682" s="1">
        <v>2.772421</v>
      </c>
      <c r="I682" s="1">
        <v>0.45454499999999998</v>
      </c>
      <c r="J682" s="1">
        <v>1260.191364</v>
      </c>
      <c r="K682" s="1">
        <v>0</v>
      </c>
      <c r="L682" s="1">
        <v>0</v>
      </c>
      <c r="M682" s="1" t="s">
        <v>19</v>
      </c>
      <c r="N682" s="1" t="s">
        <v>47</v>
      </c>
      <c r="O682" s="1" t="s">
        <v>47</v>
      </c>
      <c r="P682" s="2">
        <f t="shared" si="20"/>
        <v>0</v>
      </c>
      <c r="Q682" s="2">
        <f t="shared" si="21"/>
        <v>0</v>
      </c>
    </row>
    <row r="683" spans="1:17" ht="12.5" x14ac:dyDescent="0.25">
      <c r="A683" s="1" t="s">
        <v>133</v>
      </c>
      <c r="B683" s="1" t="s">
        <v>16</v>
      </c>
      <c r="C683" s="1" t="s">
        <v>46</v>
      </c>
      <c r="D683" s="1" t="s">
        <v>41</v>
      </c>
      <c r="E683" s="1">
        <v>18.88</v>
      </c>
      <c r="F683" s="1">
        <v>3</v>
      </c>
      <c r="G683" s="1">
        <v>8</v>
      </c>
      <c r="H683" s="1">
        <v>6.2933329999999996</v>
      </c>
      <c r="I683" s="1">
        <v>0.375</v>
      </c>
      <c r="J683" s="1">
        <v>2360</v>
      </c>
      <c r="K683" s="1">
        <v>0</v>
      </c>
      <c r="L683" s="1">
        <v>0</v>
      </c>
      <c r="M683" s="1" t="s">
        <v>19</v>
      </c>
      <c r="N683" s="1" t="s">
        <v>47</v>
      </c>
      <c r="O683" s="1" t="s">
        <v>47</v>
      </c>
      <c r="P683" s="2">
        <f t="shared" si="20"/>
        <v>0</v>
      </c>
      <c r="Q683" s="2">
        <f t="shared" si="21"/>
        <v>0</v>
      </c>
    </row>
    <row r="684" spans="1:17" ht="12.5" x14ac:dyDescent="0.25">
      <c r="A684" s="1" t="s">
        <v>134</v>
      </c>
      <c r="B684" s="1" t="s">
        <v>16</v>
      </c>
      <c r="C684" s="1" t="s">
        <v>46</v>
      </c>
      <c r="D684" s="1" t="s">
        <v>41</v>
      </c>
      <c r="E684" s="1">
        <v>412.81</v>
      </c>
      <c r="F684" s="1">
        <v>4</v>
      </c>
      <c r="G684" s="1">
        <v>7</v>
      </c>
      <c r="H684" s="1">
        <v>103.2025</v>
      </c>
      <c r="I684" s="1">
        <v>0.57142899999999996</v>
      </c>
      <c r="J684" s="1">
        <v>58972.85714</v>
      </c>
      <c r="K684" s="1">
        <v>0</v>
      </c>
      <c r="L684" s="1">
        <v>0</v>
      </c>
      <c r="M684" s="1" t="s">
        <v>19</v>
      </c>
      <c r="N684" s="1" t="s">
        <v>47</v>
      </c>
      <c r="O684" s="1" t="s">
        <v>47</v>
      </c>
      <c r="P684" s="2">
        <f t="shared" si="20"/>
        <v>0</v>
      </c>
      <c r="Q684" s="2">
        <f t="shared" si="21"/>
        <v>0</v>
      </c>
    </row>
    <row r="685" spans="1:17" ht="12.5" x14ac:dyDescent="0.25">
      <c r="A685" s="1" t="s">
        <v>135</v>
      </c>
      <c r="B685" s="1" t="s">
        <v>16</v>
      </c>
      <c r="C685" s="1" t="s">
        <v>46</v>
      </c>
      <c r="D685" s="1" t="s">
        <v>41</v>
      </c>
      <c r="E685" s="1">
        <v>71.06</v>
      </c>
      <c r="F685" s="1">
        <v>6</v>
      </c>
      <c r="G685" s="1">
        <v>12</v>
      </c>
      <c r="H685" s="1">
        <v>11.843332999999999</v>
      </c>
      <c r="I685" s="1">
        <v>0.5</v>
      </c>
      <c r="J685" s="1">
        <v>5921.6666670000004</v>
      </c>
      <c r="K685" s="1">
        <v>0</v>
      </c>
      <c r="L685" s="1">
        <v>0</v>
      </c>
      <c r="M685" s="1" t="s">
        <v>19</v>
      </c>
      <c r="N685" s="1" t="s">
        <v>47</v>
      </c>
      <c r="O685" s="1" t="s">
        <v>47</v>
      </c>
      <c r="P685" s="2">
        <f t="shared" si="20"/>
        <v>0</v>
      </c>
      <c r="Q685" s="2">
        <f t="shared" si="21"/>
        <v>0</v>
      </c>
    </row>
    <row r="686" spans="1:17" ht="12.5" x14ac:dyDescent="0.25">
      <c r="A686" s="1" t="s">
        <v>136</v>
      </c>
      <c r="B686" s="1" t="s">
        <v>16</v>
      </c>
      <c r="C686" s="1" t="s">
        <v>46</v>
      </c>
      <c r="D686" s="1" t="s">
        <v>41</v>
      </c>
      <c r="E686" s="1">
        <v>18.02</v>
      </c>
      <c r="F686" s="1">
        <v>4</v>
      </c>
      <c r="G686" s="1">
        <v>9</v>
      </c>
      <c r="H686" s="1">
        <v>4.5049999999999999</v>
      </c>
      <c r="I686" s="1">
        <v>0.44444400000000001</v>
      </c>
      <c r="J686" s="1">
        <v>2002.2222220000001</v>
      </c>
      <c r="K686" s="1">
        <v>0</v>
      </c>
      <c r="L686" s="1">
        <v>0</v>
      </c>
      <c r="M686" s="1" t="s">
        <v>19</v>
      </c>
      <c r="N686" s="1" t="s">
        <v>47</v>
      </c>
      <c r="O686" s="1" t="s">
        <v>47</v>
      </c>
      <c r="P686" s="2">
        <f t="shared" si="20"/>
        <v>0</v>
      </c>
      <c r="Q686" s="2">
        <f t="shared" si="21"/>
        <v>0</v>
      </c>
    </row>
    <row r="687" spans="1:17" ht="12.5" x14ac:dyDescent="0.25">
      <c r="A687" s="3">
        <v>46119</v>
      </c>
      <c r="B687" s="1" t="s">
        <v>16</v>
      </c>
      <c r="C687" s="1" t="s">
        <v>56</v>
      </c>
      <c r="D687" s="1" t="s">
        <v>41</v>
      </c>
      <c r="E687" s="1">
        <v>196.58</v>
      </c>
      <c r="F687" s="1">
        <v>10</v>
      </c>
      <c r="G687" s="1">
        <v>892</v>
      </c>
      <c r="H687" s="1">
        <v>19.658000000000001</v>
      </c>
      <c r="I687" s="1">
        <v>1.1211E-2</v>
      </c>
      <c r="J687" s="1">
        <v>220.38116600000001</v>
      </c>
      <c r="K687" s="1">
        <v>0</v>
      </c>
      <c r="L687" s="1">
        <v>0</v>
      </c>
      <c r="M687" s="1" t="s">
        <v>19</v>
      </c>
      <c r="N687" s="1" t="s">
        <v>47</v>
      </c>
      <c r="O687" s="1" t="s">
        <v>47</v>
      </c>
      <c r="P687" s="2">
        <f t="shared" si="20"/>
        <v>0</v>
      </c>
      <c r="Q687" s="2">
        <f t="shared" si="21"/>
        <v>0</v>
      </c>
    </row>
    <row r="688" spans="1:17" ht="12.5" x14ac:dyDescent="0.25">
      <c r="A688" s="3">
        <v>46149</v>
      </c>
      <c r="B688" s="1" t="s">
        <v>16</v>
      </c>
      <c r="C688" s="1" t="s">
        <v>56</v>
      </c>
      <c r="D688" s="1" t="s">
        <v>41</v>
      </c>
      <c r="E688" s="1">
        <v>118.73</v>
      </c>
      <c r="F688" s="1">
        <v>5</v>
      </c>
      <c r="G688" s="1">
        <v>114</v>
      </c>
      <c r="H688" s="1">
        <v>23.745999999999999</v>
      </c>
      <c r="I688" s="1">
        <v>4.3860000000000003E-2</v>
      </c>
      <c r="J688" s="1">
        <v>1041.4912280000001</v>
      </c>
      <c r="K688" s="1">
        <v>0</v>
      </c>
      <c r="L688" s="1">
        <v>0</v>
      </c>
      <c r="M688" s="1" t="s">
        <v>19</v>
      </c>
      <c r="N688" s="1" t="s">
        <v>47</v>
      </c>
      <c r="O688" s="1" t="s">
        <v>47</v>
      </c>
      <c r="P688" s="2">
        <f t="shared" si="20"/>
        <v>0</v>
      </c>
      <c r="Q688" s="2">
        <f t="shared" si="21"/>
        <v>0</v>
      </c>
    </row>
    <row r="689" spans="1:17" ht="12.5" x14ac:dyDescent="0.25">
      <c r="A689" s="3">
        <v>46180</v>
      </c>
      <c r="B689" s="1" t="s">
        <v>16</v>
      </c>
      <c r="C689" s="1" t="s">
        <v>56</v>
      </c>
      <c r="D689" s="1" t="s">
        <v>41</v>
      </c>
      <c r="E689" s="1">
        <v>37.76</v>
      </c>
      <c r="F689" s="1">
        <v>1</v>
      </c>
      <c r="G689" s="1">
        <v>234</v>
      </c>
      <c r="H689" s="1">
        <v>37.76</v>
      </c>
      <c r="I689" s="1">
        <v>4.274E-3</v>
      </c>
      <c r="J689" s="1">
        <v>161.36752100000001</v>
      </c>
      <c r="K689" s="1">
        <v>2</v>
      </c>
      <c r="L689" s="1">
        <v>62546.400000000001</v>
      </c>
      <c r="M689" s="1" t="s">
        <v>19</v>
      </c>
      <c r="N689" s="1" t="s">
        <v>47</v>
      </c>
      <c r="O689" s="1" t="s">
        <v>47</v>
      </c>
      <c r="P689" s="2">
        <f t="shared" si="20"/>
        <v>3.1976260823964288E-5</v>
      </c>
      <c r="Q689" s="2">
        <f t="shared" si="21"/>
        <v>18.88</v>
      </c>
    </row>
    <row r="690" spans="1:17" ht="12.5" x14ac:dyDescent="0.25">
      <c r="A690" s="3">
        <v>46272</v>
      </c>
      <c r="B690" s="1" t="s">
        <v>16</v>
      </c>
      <c r="C690" s="1" t="s">
        <v>56</v>
      </c>
      <c r="D690" s="1" t="s">
        <v>41</v>
      </c>
      <c r="E690" s="1">
        <v>20.46</v>
      </c>
      <c r="F690" s="1">
        <v>2</v>
      </c>
      <c r="G690" s="1">
        <v>51</v>
      </c>
      <c r="H690" s="1">
        <v>10.23</v>
      </c>
      <c r="I690" s="1">
        <v>3.9216000000000001E-2</v>
      </c>
      <c r="J690" s="1">
        <v>401.17647099999999</v>
      </c>
      <c r="K690" s="1">
        <v>0</v>
      </c>
      <c r="L690" s="1">
        <v>0</v>
      </c>
      <c r="M690" s="1" t="s">
        <v>19</v>
      </c>
      <c r="N690" s="1" t="s">
        <v>47</v>
      </c>
      <c r="O690" s="1" t="s">
        <v>47</v>
      </c>
      <c r="P690" s="2">
        <f t="shared" si="20"/>
        <v>0</v>
      </c>
      <c r="Q690" s="2">
        <f t="shared" si="21"/>
        <v>0</v>
      </c>
    </row>
    <row r="691" spans="1:17" ht="12.5" x14ac:dyDescent="0.25">
      <c r="A691" s="3">
        <v>46333</v>
      </c>
      <c r="B691" s="1" t="s">
        <v>16</v>
      </c>
      <c r="C691" s="1" t="s">
        <v>56</v>
      </c>
      <c r="D691" s="1" t="s">
        <v>41</v>
      </c>
      <c r="E691" s="1">
        <v>63.7</v>
      </c>
      <c r="F691" s="1">
        <v>7</v>
      </c>
      <c r="G691" s="1">
        <v>141</v>
      </c>
      <c r="H691" s="1">
        <v>9.1</v>
      </c>
      <c r="I691" s="1">
        <v>4.9645000000000002E-2</v>
      </c>
      <c r="J691" s="1">
        <v>451.77305000000001</v>
      </c>
      <c r="K691" s="1">
        <v>0</v>
      </c>
      <c r="L691" s="1">
        <v>0</v>
      </c>
      <c r="M691" s="1" t="s">
        <v>19</v>
      </c>
      <c r="N691" s="1" t="s">
        <v>47</v>
      </c>
      <c r="O691" s="1" t="s">
        <v>47</v>
      </c>
      <c r="P691" s="2">
        <f t="shared" si="20"/>
        <v>0</v>
      </c>
      <c r="Q691" s="2">
        <f t="shared" si="21"/>
        <v>0</v>
      </c>
    </row>
    <row r="692" spans="1:17" ht="12.5" x14ac:dyDescent="0.25">
      <c r="A692" s="3">
        <v>46363</v>
      </c>
      <c r="B692" s="1" t="s">
        <v>16</v>
      </c>
      <c r="C692" s="1" t="s">
        <v>56</v>
      </c>
      <c r="D692" s="1" t="s">
        <v>41</v>
      </c>
      <c r="E692" s="1">
        <v>0.01</v>
      </c>
      <c r="F692" s="1">
        <v>1</v>
      </c>
      <c r="G692" s="1">
        <v>49</v>
      </c>
      <c r="H692" s="1">
        <v>0.01</v>
      </c>
      <c r="I692" s="1">
        <v>2.0407999999999999E-2</v>
      </c>
      <c r="J692" s="1">
        <v>0.20408200000000001</v>
      </c>
      <c r="K692" s="1">
        <v>0</v>
      </c>
      <c r="L692" s="1">
        <v>0</v>
      </c>
      <c r="M692" s="1" t="s">
        <v>19</v>
      </c>
      <c r="N692" s="1" t="s">
        <v>47</v>
      </c>
      <c r="O692" s="1" t="s">
        <v>47</v>
      </c>
      <c r="P692" s="2">
        <f t="shared" si="20"/>
        <v>0</v>
      </c>
      <c r="Q692" s="2">
        <f t="shared" si="21"/>
        <v>0</v>
      </c>
    </row>
    <row r="693" spans="1:17" ht="12.5" x14ac:dyDescent="0.25">
      <c r="A693" s="1" t="s">
        <v>137</v>
      </c>
      <c r="B693" s="1" t="s">
        <v>16</v>
      </c>
      <c r="C693" s="1" t="s">
        <v>56</v>
      </c>
      <c r="D693" s="1" t="s">
        <v>41</v>
      </c>
      <c r="E693" s="1">
        <v>7.8</v>
      </c>
      <c r="F693" s="1">
        <v>1</v>
      </c>
      <c r="G693" s="1">
        <v>26</v>
      </c>
      <c r="H693" s="1">
        <v>7.8</v>
      </c>
      <c r="I693" s="1">
        <v>3.8462000000000003E-2</v>
      </c>
      <c r="J693" s="1">
        <v>300</v>
      </c>
      <c r="K693" s="1">
        <v>0</v>
      </c>
      <c r="L693" s="1">
        <v>0</v>
      </c>
      <c r="M693" s="1" t="s">
        <v>19</v>
      </c>
      <c r="N693" s="1" t="s">
        <v>47</v>
      </c>
      <c r="O693" s="1" t="s">
        <v>47</v>
      </c>
      <c r="P693" s="2">
        <f t="shared" si="20"/>
        <v>0</v>
      </c>
      <c r="Q693" s="2">
        <f t="shared" si="21"/>
        <v>0</v>
      </c>
    </row>
    <row r="694" spans="1:17" ht="12.5" x14ac:dyDescent="0.25">
      <c r="A694" s="1" t="s">
        <v>122</v>
      </c>
      <c r="B694" s="1" t="s">
        <v>16</v>
      </c>
      <c r="C694" s="1" t="s">
        <v>56</v>
      </c>
      <c r="D694" s="1" t="s">
        <v>41</v>
      </c>
      <c r="E694" s="1">
        <v>8.9</v>
      </c>
      <c r="F694" s="1">
        <v>2</v>
      </c>
      <c r="G694" s="1">
        <v>123</v>
      </c>
      <c r="H694" s="1">
        <v>4.45</v>
      </c>
      <c r="I694" s="1">
        <v>1.626E-2</v>
      </c>
      <c r="J694" s="1">
        <v>72.357724000000005</v>
      </c>
      <c r="K694" s="1">
        <v>0</v>
      </c>
      <c r="L694" s="1">
        <v>0</v>
      </c>
      <c r="M694" s="1" t="s">
        <v>19</v>
      </c>
      <c r="N694" s="1" t="s">
        <v>47</v>
      </c>
      <c r="O694" s="1" t="s">
        <v>47</v>
      </c>
      <c r="P694" s="2">
        <f t="shared" si="20"/>
        <v>0</v>
      </c>
      <c r="Q694" s="2">
        <f t="shared" si="21"/>
        <v>0</v>
      </c>
    </row>
    <row r="695" spans="1:17" ht="12.5" x14ac:dyDescent="0.25">
      <c r="A695" s="1" t="s">
        <v>123</v>
      </c>
      <c r="B695" s="1" t="s">
        <v>16</v>
      </c>
      <c r="C695" s="1" t="s">
        <v>56</v>
      </c>
      <c r="D695" s="1" t="s">
        <v>41</v>
      </c>
      <c r="E695" s="1">
        <v>25.79</v>
      </c>
      <c r="F695" s="1">
        <v>3</v>
      </c>
      <c r="G695" s="1">
        <v>203</v>
      </c>
      <c r="H695" s="1">
        <v>8.5966670000000001</v>
      </c>
      <c r="I695" s="1">
        <v>1.4777999999999999E-2</v>
      </c>
      <c r="J695" s="1">
        <v>127.044335</v>
      </c>
      <c r="K695" s="1">
        <v>0</v>
      </c>
      <c r="L695" s="1">
        <v>0</v>
      </c>
      <c r="M695" s="1" t="s">
        <v>19</v>
      </c>
      <c r="N695" s="1" t="s">
        <v>47</v>
      </c>
      <c r="O695" s="1" t="s">
        <v>47</v>
      </c>
      <c r="P695" s="2">
        <f t="shared" si="20"/>
        <v>0</v>
      </c>
      <c r="Q695" s="2">
        <f t="shared" si="21"/>
        <v>0</v>
      </c>
    </row>
    <row r="696" spans="1:17" ht="12.5" x14ac:dyDescent="0.25">
      <c r="A696" s="1" t="s">
        <v>124</v>
      </c>
      <c r="B696" s="1" t="s">
        <v>16</v>
      </c>
      <c r="C696" s="1" t="s">
        <v>56</v>
      </c>
      <c r="D696" s="1" t="s">
        <v>41</v>
      </c>
      <c r="E696" s="1">
        <v>120.33</v>
      </c>
      <c r="F696" s="1">
        <v>5</v>
      </c>
      <c r="G696" s="1">
        <v>435</v>
      </c>
      <c r="H696" s="1">
        <v>24.065999999999999</v>
      </c>
      <c r="I696" s="1">
        <v>1.1494000000000001E-2</v>
      </c>
      <c r="J696" s="1">
        <v>276.62069000000002</v>
      </c>
      <c r="K696" s="1">
        <v>0</v>
      </c>
      <c r="L696" s="1">
        <v>0</v>
      </c>
      <c r="M696" s="1" t="s">
        <v>19</v>
      </c>
      <c r="N696" s="1" t="s">
        <v>47</v>
      </c>
      <c r="O696" s="1" t="s">
        <v>47</v>
      </c>
      <c r="P696" s="2">
        <f t="shared" si="20"/>
        <v>0</v>
      </c>
      <c r="Q696" s="2">
        <f t="shared" si="21"/>
        <v>0</v>
      </c>
    </row>
    <row r="697" spans="1:17" ht="12.5" x14ac:dyDescent="0.25">
      <c r="A697" s="1" t="s">
        <v>125</v>
      </c>
      <c r="B697" s="1" t="s">
        <v>16</v>
      </c>
      <c r="C697" s="1" t="s">
        <v>56</v>
      </c>
      <c r="D697" s="1" t="s">
        <v>41</v>
      </c>
      <c r="E697" s="1">
        <v>325.08999999999997</v>
      </c>
      <c r="F697" s="1">
        <v>16</v>
      </c>
      <c r="G697" s="1">
        <v>571</v>
      </c>
      <c r="H697" s="1">
        <v>20.318124999999998</v>
      </c>
      <c r="I697" s="1">
        <v>2.8021000000000001E-2</v>
      </c>
      <c r="J697" s="1">
        <v>569.33450100000005</v>
      </c>
      <c r="K697" s="1">
        <v>0</v>
      </c>
      <c r="L697" s="1">
        <v>0</v>
      </c>
      <c r="M697" s="1" t="s">
        <v>19</v>
      </c>
      <c r="N697" s="1" t="s">
        <v>47</v>
      </c>
      <c r="O697" s="1" t="s">
        <v>47</v>
      </c>
      <c r="P697" s="2">
        <f t="shared" si="20"/>
        <v>0</v>
      </c>
      <c r="Q697" s="2">
        <f t="shared" si="21"/>
        <v>0</v>
      </c>
    </row>
    <row r="698" spans="1:17" ht="12.5" x14ac:dyDescent="0.25">
      <c r="A698" s="1" t="s">
        <v>126</v>
      </c>
      <c r="B698" s="1" t="s">
        <v>16</v>
      </c>
      <c r="C698" s="1" t="s">
        <v>56</v>
      </c>
      <c r="D698" s="1" t="s">
        <v>41</v>
      </c>
      <c r="E698" s="1">
        <v>3.37</v>
      </c>
      <c r="F698" s="1">
        <v>1</v>
      </c>
      <c r="G698" s="1">
        <v>186</v>
      </c>
      <c r="H698" s="1">
        <v>3.37</v>
      </c>
      <c r="I698" s="1">
        <v>5.3759999999999997E-3</v>
      </c>
      <c r="J698" s="1">
        <v>18.118279999999999</v>
      </c>
      <c r="K698" s="1">
        <v>0</v>
      </c>
      <c r="L698" s="1">
        <v>0</v>
      </c>
      <c r="M698" s="1" t="s">
        <v>19</v>
      </c>
      <c r="N698" s="1" t="s">
        <v>47</v>
      </c>
      <c r="O698" s="1" t="s">
        <v>47</v>
      </c>
      <c r="P698" s="2">
        <f t="shared" si="20"/>
        <v>0</v>
      </c>
      <c r="Q698" s="2">
        <f t="shared" si="21"/>
        <v>0</v>
      </c>
    </row>
    <row r="699" spans="1:17" ht="12.5" x14ac:dyDescent="0.25">
      <c r="A699" s="1" t="s">
        <v>127</v>
      </c>
      <c r="B699" s="1" t="s">
        <v>16</v>
      </c>
      <c r="C699" s="1" t="s">
        <v>56</v>
      </c>
      <c r="D699" s="1" t="s">
        <v>41</v>
      </c>
      <c r="E699" s="1">
        <v>149.66999999999999</v>
      </c>
      <c r="F699" s="1">
        <v>7</v>
      </c>
      <c r="G699" s="1">
        <v>304</v>
      </c>
      <c r="H699" s="1">
        <v>21.381429000000001</v>
      </c>
      <c r="I699" s="1">
        <v>2.3026000000000001E-2</v>
      </c>
      <c r="J699" s="1">
        <v>492.33552600000002</v>
      </c>
      <c r="K699" s="1">
        <v>0</v>
      </c>
      <c r="L699" s="1">
        <v>0</v>
      </c>
      <c r="M699" s="1" t="s">
        <v>19</v>
      </c>
      <c r="N699" s="1" t="s">
        <v>47</v>
      </c>
      <c r="O699" s="1" t="s">
        <v>47</v>
      </c>
      <c r="P699" s="2">
        <f t="shared" si="20"/>
        <v>0</v>
      </c>
      <c r="Q699" s="2">
        <f t="shared" si="21"/>
        <v>0</v>
      </c>
    </row>
    <row r="700" spans="1:17" ht="12.5" x14ac:dyDescent="0.25">
      <c r="A700" s="1" t="s">
        <v>128</v>
      </c>
      <c r="B700" s="1" t="s">
        <v>16</v>
      </c>
      <c r="C700" s="1" t="s">
        <v>56</v>
      </c>
      <c r="D700" s="1" t="s">
        <v>41</v>
      </c>
      <c r="E700" s="1">
        <v>81.42</v>
      </c>
      <c r="F700" s="1">
        <v>3</v>
      </c>
      <c r="G700" s="1">
        <v>179</v>
      </c>
      <c r="H700" s="1">
        <v>27.14</v>
      </c>
      <c r="I700" s="1">
        <v>1.6760000000000001E-2</v>
      </c>
      <c r="J700" s="1">
        <v>454.86033500000002</v>
      </c>
      <c r="K700" s="1">
        <v>0</v>
      </c>
      <c r="L700" s="1">
        <v>0</v>
      </c>
      <c r="M700" s="1" t="s">
        <v>19</v>
      </c>
      <c r="N700" s="1" t="s">
        <v>47</v>
      </c>
      <c r="O700" s="1" t="s">
        <v>47</v>
      </c>
      <c r="P700" s="2">
        <f t="shared" si="20"/>
        <v>0</v>
      </c>
      <c r="Q700" s="2">
        <f t="shared" si="21"/>
        <v>0</v>
      </c>
    </row>
    <row r="701" spans="1:17" ht="12.5" x14ac:dyDescent="0.25">
      <c r="A701" s="1" t="s">
        <v>129</v>
      </c>
      <c r="B701" s="1" t="s">
        <v>16</v>
      </c>
      <c r="C701" s="1" t="s">
        <v>56</v>
      </c>
      <c r="D701" s="1" t="s">
        <v>41</v>
      </c>
      <c r="E701" s="1">
        <v>33.42</v>
      </c>
      <c r="F701" s="1">
        <v>6</v>
      </c>
      <c r="G701" s="1">
        <v>298</v>
      </c>
      <c r="H701" s="1">
        <v>5.57</v>
      </c>
      <c r="I701" s="1">
        <v>2.0133999999999999E-2</v>
      </c>
      <c r="J701" s="1">
        <v>112.147651</v>
      </c>
      <c r="K701" s="1">
        <v>0</v>
      </c>
      <c r="L701" s="1">
        <v>0</v>
      </c>
      <c r="M701" s="1" t="s">
        <v>19</v>
      </c>
      <c r="N701" s="1" t="s">
        <v>47</v>
      </c>
      <c r="O701" s="1" t="s">
        <v>47</v>
      </c>
      <c r="P701" s="2">
        <f t="shared" si="20"/>
        <v>0</v>
      </c>
      <c r="Q701" s="2">
        <f t="shared" si="21"/>
        <v>0</v>
      </c>
    </row>
    <row r="702" spans="1:17" ht="12.5" x14ac:dyDescent="0.25">
      <c r="A702" s="1" t="s">
        <v>130</v>
      </c>
      <c r="B702" s="1" t="s">
        <v>16</v>
      </c>
      <c r="C702" s="1" t="s">
        <v>56</v>
      </c>
      <c r="D702" s="1" t="s">
        <v>41</v>
      </c>
      <c r="E702" s="1">
        <v>148.27000000000001</v>
      </c>
      <c r="F702" s="1">
        <v>6</v>
      </c>
      <c r="G702" s="1">
        <v>362</v>
      </c>
      <c r="H702" s="1">
        <v>24.711666999999998</v>
      </c>
      <c r="I702" s="1">
        <v>1.6574999999999999E-2</v>
      </c>
      <c r="J702" s="1">
        <v>409.58563500000002</v>
      </c>
      <c r="K702" s="1">
        <v>0</v>
      </c>
      <c r="L702" s="1">
        <v>0</v>
      </c>
      <c r="M702" s="1" t="s">
        <v>19</v>
      </c>
      <c r="N702" s="1" t="s">
        <v>47</v>
      </c>
      <c r="O702" s="1" t="s">
        <v>47</v>
      </c>
      <c r="P702" s="2">
        <f t="shared" si="20"/>
        <v>0</v>
      </c>
      <c r="Q702" s="2">
        <f t="shared" si="21"/>
        <v>0</v>
      </c>
    </row>
    <row r="703" spans="1:17" ht="12.5" x14ac:dyDescent="0.25">
      <c r="A703" s="1" t="s">
        <v>132</v>
      </c>
      <c r="B703" s="1" t="s">
        <v>16</v>
      </c>
      <c r="C703" s="1" t="s">
        <v>56</v>
      </c>
      <c r="D703" s="1" t="s">
        <v>41</v>
      </c>
      <c r="E703" s="1">
        <v>50.16</v>
      </c>
      <c r="F703" s="1">
        <v>3</v>
      </c>
      <c r="G703" s="1">
        <v>110</v>
      </c>
      <c r="H703" s="1">
        <v>16.72</v>
      </c>
      <c r="I703" s="1">
        <v>2.7272999999999999E-2</v>
      </c>
      <c r="J703" s="1">
        <v>456</v>
      </c>
      <c r="K703" s="1">
        <v>0</v>
      </c>
      <c r="L703" s="1">
        <v>0</v>
      </c>
      <c r="M703" s="1" t="s">
        <v>19</v>
      </c>
      <c r="N703" s="1" t="s">
        <v>47</v>
      </c>
      <c r="O703" s="1" t="s">
        <v>47</v>
      </c>
      <c r="P703" s="2">
        <f t="shared" si="20"/>
        <v>0</v>
      </c>
      <c r="Q703" s="2">
        <f t="shared" si="21"/>
        <v>0</v>
      </c>
    </row>
    <row r="704" spans="1:17" ht="12.5" x14ac:dyDescent="0.25">
      <c r="A704" s="1" t="s">
        <v>133</v>
      </c>
      <c r="B704" s="1" t="s">
        <v>16</v>
      </c>
      <c r="C704" s="1" t="s">
        <v>56</v>
      </c>
      <c r="D704" s="1" t="s">
        <v>41</v>
      </c>
      <c r="E704" s="1">
        <v>134.69999999999999</v>
      </c>
      <c r="F704" s="1">
        <v>7</v>
      </c>
      <c r="G704" s="1">
        <v>190</v>
      </c>
      <c r="H704" s="1">
        <v>19.242857000000001</v>
      </c>
      <c r="I704" s="1">
        <v>3.6842E-2</v>
      </c>
      <c r="J704" s="1">
        <v>708.94736799999998</v>
      </c>
      <c r="K704" s="1">
        <v>0</v>
      </c>
      <c r="L704" s="1">
        <v>0</v>
      </c>
      <c r="M704" s="1" t="s">
        <v>19</v>
      </c>
      <c r="N704" s="1" t="s">
        <v>47</v>
      </c>
      <c r="O704" s="1" t="s">
        <v>47</v>
      </c>
      <c r="P704" s="2">
        <f t="shared" si="20"/>
        <v>0</v>
      </c>
      <c r="Q704" s="2">
        <f t="shared" si="21"/>
        <v>0</v>
      </c>
    </row>
    <row r="705" spans="1:17" ht="12.5" x14ac:dyDescent="0.25">
      <c r="A705" s="1" t="s">
        <v>134</v>
      </c>
      <c r="B705" s="1" t="s">
        <v>16</v>
      </c>
      <c r="C705" s="1" t="s">
        <v>56</v>
      </c>
      <c r="D705" s="1" t="s">
        <v>41</v>
      </c>
      <c r="E705" s="1">
        <v>5.34</v>
      </c>
      <c r="F705" s="1">
        <v>1</v>
      </c>
      <c r="G705" s="1">
        <v>181</v>
      </c>
      <c r="H705" s="1">
        <v>5.34</v>
      </c>
      <c r="I705" s="1">
        <v>5.5250000000000004E-3</v>
      </c>
      <c r="J705" s="1">
        <v>29.502762000000001</v>
      </c>
      <c r="K705" s="1">
        <v>0</v>
      </c>
      <c r="L705" s="1">
        <v>0</v>
      </c>
      <c r="M705" s="1" t="s">
        <v>19</v>
      </c>
      <c r="N705" s="1" t="s">
        <v>47</v>
      </c>
      <c r="O705" s="1" t="s">
        <v>47</v>
      </c>
      <c r="P705" s="2">
        <f t="shared" si="20"/>
        <v>0</v>
      </c>
      <c r="Q705" s="2">
        <f t="shared" si="21"/>
        <v>0</v>
      </c>
    </row>
    <row r="706" spans="1:17" ht="12.5" x14ac:dyDescent="0.25">
      <c r="A706" s="3">
        <v>46029</v>
      </c>
      <c r="B706" s="1" t="s">
        <v>16</v>
      </c>
      <c r="C706" s="1" t="s">
        <v>46</v>
      </c>
      <c r="D706" s="1" t="s">
        <v>41</v>
      </c>
      <c r="E706" s="1">
        <v>42.4</v>
      </c>
      <c r="F706" s="1">
        <v>9</v>
      </c>
      <c r="G706" s="1">
        <v>31</v>
      </c>
      <c r="H706" s="1">
        <v>4.7111109999999998</v>
      </c>
      <c r="I706" s="1">
        <v>0.290323</v>
      </c>
      <c r="J706" s="1">
        <v>1367.741935</v>
      </c>
      <c r="K706" s="1">
        <v>0</v>
      </c>
      <c r="L706" s="1">
        <v>0</v>
      </c>
      <c r="M706" s="1" t="s">
        <v>19</v>
      </c>
      <c r="N706" s="1" t="s">
        <v>20</v>
      </c>
      <c r="O706" s="1" t="s">
        <v>20</v>
      </c>
      <c r="P706" s="2">
        <f t="shared" si="20"/>
        <v>0</v>
      </c>
      <c r="Q706" s="2">
        <f t="shared" si="21"/>
        <v>0</v>
      </c>
    </row>
    <row r="707" spans="1:17" ht="12.5" x14ac:dyDescent="0.25">
      <c r="A707" s="3">
        <v>46119</v>
      </c>
      <c r="B707" s="1" t="s">
        <v>16</v>
      </c>
      <c r="C707" s="1" t="s">
        <v>46</v>
      </c>
      <c r="D707" s="1" t="s">
        <v>41</v>
      </c>
      <c r="E707" s="1">
        <v>217.35</v>
      </c>
      <c r="F707" s="1">
        <v>9</v>
      </c>
      <c r="G707" s="1">
        <v>31</v>
      </c>
      <c r="H707" s="1">
        <v>24.15</v>
      </c>
      <c r="I707" s="1">
        <v>0.290323</v>
      </c>
      <c r="J707" s="1">
        <v>7011.2903230000002</v>
      </c>
      <c r="K707" s="1">
        <v>0</v>
      </c>
      <c r="L707" s="1">
        <v>0</v>
      </c>
      <c r="M707" s="1" t="s">
        <v>19</v>
      </c>
      <c r="N707" s="1" t="s">
        <v>20</v>
      </c>
      <c r="O707" s="1" t="s">
        <v>20</v>
      </c>
      <c r="P707" s="2">
        <f t="shared" ref="P707:P770" si="22">IFERROR(K707/ L707, 0)</f>
        <v>0</v>
      </c>
      <c r="Q707" s="2">
        <f t="shared" ref="Q707:Q770" si="23">IFERROR(E707/K707, 0)</f>
        <v>0</v>
      </c>
    </row>
    <row r="708" spans="1:17" ht="12.5" x14ac:dyDescent="0.25">
      <c r="A708" s="3">
        <v>46149</v>
      </c>
      <c r="B708" s="1" t="s">
        <v>16</v>
      </c>
      <c r="C708" s="1" t="s">
        <v>46</v>
      </c>
      <c r="D708" s="1" t="s">
        <v>41</v>
      </c>
      <c r="E708" s="1">
        <v>231.44</v>
      </c>
      <c r="F708" s="1">
        <v>10</v>
      </c>
      <c r="G708" s="1">
        <v>31</v>
      </c>
      <c r="H708" s="1">
        <v>23.143999999999998</v>
      </c>
      <c r="I708" s="1">
        <v>0.32258100000000001</v>
      </c>
      <c r="J708" s="1">
        <v>7465.8064519999998</v>
      </c>
      <c r="K708" s="1">
        <v>1</v>
      </c>
      <c r="L708" s="1">
        <v>21450</v>
      </c>
      <c r="M708" s="1" t="s">
        <v>19</v>
      </c>
      <c r="N708" s="1" t="s">
        <v>20</v>
      </c>
      <c r="O708" s="1" t="s">
        <v>20</v>
      </c>
      <c r="P708" s="2">
        <f t="shared" si="22"/>
        <v>4.662004662004662E-5</v>
      </c>
      <c r="Q708" s="2">
        <f t="shared" si="23"/>
        <v>231.44</v>
      </c>
    </row>
    <row r="709" spans="1:17" ht="12.5" x14ac:dyDescent="0.25">
      <c r="A709" s="3">
        <v>46180</v>
      </c>
      <c r="B709" s="1" t="s">
        <v>16</v>
      </c>
      <c r="C709" s="1" t="s">
        <v>46</v>
      </c>
      <c r="D709" s="1" t="s">
        <v>41</v>
      </c>
      <c r="E709" s="1">
        <v>204.54</v>
      </c>
      <c r="F709" s="1">
        <v>10</v>
      </c>
      <c r="G709" s="1">
        <v>29</v>
      </c>
      <c r="H709" s="1">
        <v>20.454000000000001</v>
      </c>
      <c r="I709" s="1">
        <v>0.34482800000000002</v>
      </c>
      <c r="J709" s="1">
        <v>7053.1034479999998</v>
      </c>
      <c r="K709" s="1">
        <v>0</v>
      </c>
      <c r="L709" s="1">
        <v>0</v>
      </c>
      <c r="M709" s="1" t="s">
        <v>19</v>
      </c>
      <c r="N709" s="1" t="s">
        <v>20</v>
      </c>
      <c r="O709" s="1" t="s">
        <v>20</v>
      </c>
      <c r="P709" s="2">
        <f t="shared" si="22"/>
        <v>0</v>
      </c>
      <c r="Q709" s="2">
        <f t="shared" si="23"/>
        <v>0</v>
      </c>
    </row>
    <row r="710" spans="1:17" ht="12.5" x14ac:dyDescent="0.25">
      <c r="A710" s="3">
        <v>46210</v>
      </c>
      <c r="B710" s="1" t="s">
        <v>16</v>
      </c>
      <c r="C710" s="1" t="s">
        <v>46</v>
      </c>
      <c r="D710" s="1" t="s">
        <v>41</v>
      </c>
      <c r="E710" s="1">
        <v>225.01</v>
      </c>
      <c r="F710" s="1">
        <v>9</v>
      </c>
      <c r="G710" s="1">
        <v>23</v>
      </c>
      <c r="H710" s="1">
        <v>25.001111000000002</v>
      </c>
      <c r="I710" s="1">
        <v>0.39130399999999999</v>
      </c>
      <c r="J710" s="1">
        <v>9783.0434779999996</v>
      </c>
      <c r="K710" s="1">
        <v>0</v>
      </c>
      <c r="L710" s="1">
        <v>0</v>
      </c>
      <c r="M710" s="1" t="s">
        <v>19</v>
      </c>
      <c r="N710" s="1" t="s">
        <v>20</v>
      </c>
      <c r="O710" s="1" t="s">
        <v>20</v>
      </c>
      <c r="P710" s="2">
        <f t="shared" si="22"/>
        <v>0</v>
      </c>
      <c r="Q710" s="2">
        <f t="shared" si="23"/>
        <v>0</v>
      </c>
    </row>
    <row r="711" spans="1:17" ht="12.5" x14ac:dyDescent="0.25">
      <c r="A711" s="3">
        <v>46241</v>
      </c>
      <c r="B711" s="1" t="s">
        <v>16</v>
      </c>
      <c r="C711" s="1" t="s">
        <v>46</v>
      </c>
      <c r="D711" s="1" t="s">
        <v>41</v>
      </c>
      <c r="E711" s="1">
        <v>42.2</v>
      </c>
      <c r="F711" s="1">
        <v>7</v>
      </c>
      <c r="G711" s="1">
        <v>16</v>
      </c>
      <c r="H711" s="1">
        <v>6.0285710000000003</v>
      </c>
      <c r="I711" s="1">
        <v>0.4375</v>
      </c>
      <c r="J711" s="1">
        <v>2637.5</v>
      </c>
      <c r="K711" s="1">
        <v>0</v>
      </c>
      <c r="L711" s="1">
        <v>0</v>
      </c>
      <c r="M711" s="1" t="s">
        <v>19</v>
      </c>
      <c r="N711" s="1" t="s">
        <v>20</v>
      </c>
      <c r="O711" s="1" t="s">
        <v>20</v>
      </c>
      <c r="P711" s="2">
        <f t="shared" si="22"/>
        <v>0</v>
      </c>
      <c r="Q711" s="2">
        <f t="shared" si="23"/>
        <v>0</v>
      </c>
    </row>
    <row r="712" spans="1:17" ht="12.5" x14ac:dyDescent="0.25">
      <c r="A712" s="3">
        <v>46272</v>
      </c>
      <c r="B712" s="1" t="s">
        <v>16</v>
      </c>
      <c r="C712" s="1" t="s">
        <v>46</v>
      </c>
      <c r="D712" s="1" t="s">
        <v>41</v>
      </c>
      <c r="E712" s="1">
        <v>2.797793</v>
      </c>
      <c r="F712" s="1">
        <v>3</v>
      </c>
      <c r="G712" s="1">
        <v>9</v>
      </c>
      <c r="H712" s="1">
        <v>0.93259800000000004</v>
      </c>
      <c r="I712" s="1">
        <v>0.33333299999999999</v>
      </c>
      <c r="J712" s="1">
        <v>310.86588899999998</v>
      </c>
      <c r="K712" s="1">
        <v>0</v>
      </c>
      <c r="L712" s="1">
        <v>0</v>
      </c>
      <c r="M712" s="1" t="s">
        <v>19</v>
      </c>
      <c r="N712" s="1" t="s">
        <v>20</v>
      </c>
      <c r="O712" s="1" t="s">
        <v>20</v>
      </c>
      <c r="P712" s="2">
        <f t="shared" si="22"/>
        <v>0</v>
      </c>
      <c r="Q712" s="2">
        <f t="shared" si="23"/>
        <v>0</v>
      </c>
    </row>
    <row r="713" spans="1:17" ht="12.5" x14ac:dyDescent="0.25">
      <c r="A713" s="3">
        <v>46302</v>
      </c>
      <c r="B713" s="1" t="s">
        <v>16</v>
      </c>
      <c r="C713" s="1" t="s">
        <v>46</v>
      </c>
      <c r="D713" s="1" t="s">
        <v>41</v>
      </c>
      <c r="E713" s="1">
        <v>877.41614400000003</v>
      </c>
      <c r="F713" s="1">
        <v>13</v>
      </c>
      <c r="G713" s="1">
        <v>38</v>
      </c>
      <c r="H713" s="1">
        <v>67.493549999999999</v>
      </c>
      <c r="I713" s="1">
        <v>0.34210499999999999</v>
      </c>
      <c r="J713" s="1">
        <v>23089.898529999999</v>
      </c>
      <c r="K713" s="1">
        <v>0</v>
      </c>
      <c r="L713" s="1">
        <v>0</v>
      </c>
      <c r="M713" s="1" t="s">
        <v>19</v>
      </c>
      <c r="N713" s="1" t="s">
        <v>20</v>
      </c>
      <c r="O713" s="1" t="s">
        <v>20</v>
      </c>
      <c r="P713" s="2">
        <f t="shared" si="22"/>
        <v>0</v>
      </c>
      <c r="Q713" s="2">
        <f t="shared" si="23"/>
        <v>0</v>
      </c>
    </row>
    <row r="714" spans="1:17" ht="12.5" x14ac:dyDescent="0.25">
      <c r="A714" s="3">
        <v>46333</v>
      </c>
      <c r="B714" s="1" t="s">
        <v>16</v>
      </c>
      <c r="C714" s="1" t="s">
        <v>46</v>
      </c>
      <c r="D714" s="1" t="s">
        <v>41</v>
      </c>
      <c r="E714" s="1">
        <v>373.13</v>
      </c>
      <c r="F714" s="1">
        <v>11</v>
      </c>
      <c r="G714" s="1">
        <v>27</v>
      </c>
      <c r="H714" s="1">
        <v>33.920909000000002</v>
      </c>
      <c r="I714" s="1">
        <v>0.40740700000000002</v>
      </c>
      <c r="J714" s="1">
        <v>13819.629629999999</v>
      </c>
      <c r="K714" s="1">
        <v>0</v>
      </c>
      <c r="L714" s="1">
        <v>0</v>
      </c>
      <c r="M714" s="1" t="s">
        <v>19</v>
      </c>
      <c r="N714" s="1" t="s">
        <v>20</v>
      </c>
      <c r="O714" s="1" t="s">
        <v>20</v>
      </c>
      <c r="P714" s="2">
        <f t="shared" si="22"/>
        <v>0</v>
      </c>
      <c r="Q714" s="2">
        <f t="shared" si="23"/>
        <v>0</v>
      </c>
    </row>
    <row r="715" spans="1:17" ht="12.5" x14ac:dyDescent="0.25">
      <c r="A715" s="3">
        <v>46363</v>
      </c>
      <c r="B715" s="1" t="s">
        <v>16</v>
      </c>
      <c r="C715" s="1" t="s">
        <v>46</v>
      </c>
      <c r="D715" s="1" t="s">
        <v>41</v>
      </c>
      <c r="E715" s="1">
        <v>134.74</v>
      </c>
      <c r="F715" s="1">
        <v>13</v>
      </c>
      <c r="G715" s="1">
        <v>28</v>
      </c>
      <c r="H715" s="1">
        <v>10.364615000000001</v>
      </c>
      <c r="I715" s="1">
        <v>0.46428599999999998</v>
      </c>
      <c r="J715" s="1">
        <v>4812.1428569999998</v>
      </c>
      <c r="K715" s="1">
        <v>0</v>
      </c>
      <c r="L715" s="1">
        <v>0</v>
      </c>
      <c r="M715" s="1" t="s">
        <v>19</v>
      </c>
      <c r="N715" s="1" t="s">
        <v>20</v>
      </c>
      <c r="O715" s="1" t="s">
        <v>20</v>
      </c>
      <c r="P715" s="2">
        <f t="shared" si="22"/>
        <v>0</v>
      </c>
      <c r="Q715" s="2">
        <f t="shared" si="23"/>
        <v>0</v>
      </c>
    </row>
    <row r="716" spans="1:17" ht="12.5" x14ac:dyDescent="0.25">
      <c r="A716" s="1" t="s">
        <v>137</v>
      </c>
      <c r="B716" s="1" t="s">
        <v>16</v>
      </c>
      <c r="C716" s="1" t="s">
        <v>46</v>
      </c>
      <c r="D716" s="1" t="s">
        <v>41</v>
      </c>
      <c r="E716" s="1">
        <v>11.54</v>
      </c>
      <c r="F716" s="1">
        <v>9</v>
      </c>
      <c r="G716" s="1">
        <v>23</v>
      </c>
      <c r="H716" s="1">
        <v>1.282222</v>
      </c>
      <c r="I716" s="1">
        <v>0.39130399999999999</v>
      </c>
      <c r="J716" s="1">
        <v>501.73912999999999</v>
      </c>
      <c r="K716" s="1">
        <v>0</v>
      </c>
      <c r="L716" s="1">
        <v>0</v>
      </c>
      <c r="M716" s="1" t="s">
        <v>19</v>
      </c>
      <c r="N716" s="1" t="s">
        <v>20</v>
      </c>
      <c r="O716" s="1" t="s">
        <v>20</v>
      </c>
      <c r="P716" s="2">
        <f t="shared" si="22"/>
        <v>0</v>
      </c>
      <c r="Q716" s="2">
        <f t="shared" si="23"/>
        <v>0</v>
      </c>
    </row>
    <row r="717" spans="1:17" ht="12.5" x14ac:dyDescent="0.25">
      <c r="A717" s="1" t="s">
        <v>138</v>
      </c>
      <c r="B717" s="1" t="s">
        <v>16</v>
      </c>
      <c r="C717" s="1" t="s">
        <v>46</v>
      </c>
      <c r="D717" s="1" t="s">
        <v>41</v>
      </c>
      <c r="E717" s="1">
        <v>41.235391999999997</v>
      </c>
      <c r="F717" s="1">
        <v>9</v>
      </c>
      <c r="G717" s="1">
        <v>24</v>
      </c>
      <c r="H717" s="1">
        <v>4.5817100000000002</v>
      </c>
      <c r="I717" s="1">
        <v>0.375</v>
      </c>
      <c r="J717" s="1">
        <v>1718.141333</v>
      </c>
      <c r="K717" s="1">
        <v>0</v>
      </c>
      <c r="L717" s="1">
        <v>0</v>
      </c>
      <c r="M717" s="1" t="s">
        <v>19</v>
      </c>
      <c r="N717" s="1" t="s">
        <v>20</v>
      </c>
      <c r="O717" s="1" t="s">
        <v>20</v>
      </c>
      <c r="P717" s="2">
        <f t="shared" si="22"/>
        <v>0</v>
      </c>
      <c r="Q717" s="2">
        <f t="shared" si="23"/>
        <v>0</v>
      </c>
    </row>
    <row r="718" spans="1:17" ht="12.5" x14ac:dyDescent="0.25">
      <c r="A718" s="1" t="s">
        <v>122</v>
      </c>
      <c r="B718" s="1" t="s">
        <v>16</v>
      </c>
      <c r="C718" s="1" t="s">
        <v>46</v>
      </c>
      <c r="D718" s="1" t="s">
        <v>41</v>
      </c>
      <c r="E718" s="1">
        <v>121.794062</v>
      </c>
      <c r="F718" s="1">
        <v>8</v>
      </c>
      <c r="G718" s="1">
        <v>32</v>
      </c>
      <c r="H718" s="1">
        <v>15.224258000000001</v>
      </c>
      <c r="I718" s="1">
        <v>0.25</v>
      </c>
      <c r="J718" s="1">
        <v>3806.064437</v>
      </c>
      <c r="K718" s="1">
        <v>0</v>
      </c>
      <c r="L718" s="1">
        <v>0</v>
      </c>
      <c r="M718" s="1" t="s">
        <v>19</v>
      </c>
      <c r="N718" s="1" t="s">
        <v>20</v>
      </c>
      <c r="O718" s="1" t="s">
        <v>20</v>
      </c>
      <c r="P718" s="2">
        <f t="shared" si="22"/>
        <v>0</v>
      </c>
      <c r="Q718" s="2">
        <f t="shared" si="23"/>
        <v>0</v>
      </c>
    </row>
    <row r="719" spans="1:17" ht="12.5" x14ac:dyDescent="0.25">
      <c r="A719" s="1" t="s">
        <v>123</v>
      </c>
      <c r="B719" s="1" t="s">
        <v>16</v>
      </c>
      <c r="C719" s="1" t="s">
        <v>46</v>
      </c>
      <c r="D719" s="1" t="s">
        <v>41</v>
      </c>
      <c r="E719" s="1">
        <v>103.68</v>
      </c>
      <c r="F719" s="1">
        <v>8</v>
      </c>
      <c r="G719" s="1">
        <v>18</v>
      </c>
      <c r="H719" s="1">
        <v>12.96</v>
      </c>
      <c r="I719" s="1">
        <v>0.44444400000000001</v>
      </c>
      <c r="J719" s="1">
        <v>5760</v>
      </c>
      <c r="K719" s="1">
        <v>0</v>
      </c>
      <c r="L719" s="1">
        <v>0</v>
      </c>
      <c r="M719" s="1" t="s">
        <v>19</v>
      </c>
      <c r="N719" s="1" t="s">
        <v>20</v>
      </c>
      <c r="O719" s="1" t="s">
        <v>20</v>
      </c>
      <c r="P719" s="2">
        <f t="shared" si="22"/>
        <v>0</v>
      </c>
      <c r="Q719" s="2">
        <f t="shared" si="23"/>
        <v>0</v>
      </c>
    </row>
    <row r="720" spans="1:17" ht="12.5" x14ac:dyDescent="0.25">
      <c r="A720" s="1" t="s">
        <v>124</v>
      </c>
      <c r="B720" s="1" t="s">
        <v>16</v>
      </c>
      <c r="C720" s="1" t="s">
        <v>46</v>
      </c>
      <c r="D720" s="1" t="s">
        <v>41</v>
      </c>
      <c r="E720" s="1">
        <v>87.268450000000001</v>
      </c>
      <c r="F720" s="1">
        <v>15</v>
      </c>
      <c r="G720" s="1">
        <v>44</v>
      </c>
      <c r="H720" s="1">
        <v>5.8178970000000003</v>
      </c>
      <c r="I720" s="1">
        <v>0.34090900000000002</v>
      </c>
      <c r="J720" s="1">
        <v>1983.3738639999999</v>
      </c>
      <c r="K720" s="1">
        <v>0</v>
      </c>
      <c r="L720" s="1">
        <v>0</v>
      </c>
      <c r="M720" s="1" t="s">
        <v>19</v>
      </c>
      <c r="N720" s="1" t="s">
        <v>20</v>
      </c>
      <c r="O720" s="1" t="s">
        <v>20</v>
      </c>
      <c r="P720" s="2">
        <f t="shared" si="22"/>
        <v>0</v>
      </c>
      <c r="Q720" s="2">
        <f t="shared" si="23"/>
        <v>0</v>
      </c>
    </row>
    <row r="721" spans="1:17" ht="12.5" x14ac:dyDescent="0.25">
      <c r="A721" s="1" t="s">
        <v>125</v>
      </c>
      <c r="B721" s="1" t="s">
        <v>16</v>
      </c>
      <c r="C721" s="1" t="s">
        <v>46</v>
      </c>
      <c r="D721" s="1" t="s">
        <v>41</v>
      </c>
      <c r="E721" s="1">
        <v>144.29</v>
      </c>
      <c r="F721" s="1">
        <v>13</v>
      </c>
      <c r="G721" s="1">
        <v>33</v>
      </c>
      <c r="H721" s="1">
        <v>11.099231</v>
      </c>
      <c r="I721" s="1">
        <v>0.39393899999999998</v>
      </c>
      <c r="J721" s="1">
        <v>4372.424242</v>
      </c>
      <c r="K721" s="1">
        <v>0</v>
      </c>
      <c r="L721" s="1">
        <v>0</v>
      </c>
      <c r="M721" s="1" t="s">
        <v>19</v>
      </c>
      <c r="N721" s="1" t="s">
        <v>20</v>
      </c>
      <c r="O721" s="1" t="s">
        <v>20</v>
      </c>
      <c r="P721" s="2">
        <f t="shared" si="22"/>
        <v>0</v>
      </c>
      <c r="Q721" s="2">
        <f t="shared" si="23"/>
        <v>0</v>
      </c>
    </row>
    <row r="722" spans="1:17" ht="12.5" x14ac:dyDescent="0.25">
      <c r="A722" s="1" t="s">
        <v>126</v>
      </c>
      <c r="B722" s="1" t="s">
        <v>16</v>
      </c>
      <c r="C722" s="1" t="s">
        <v>46</v>
      </c>
      <c r="D722" s="1" t="s">
        <v>41</v>
      </c>
      <c r="E722" s="1">
        <v>146.89109199999999</v>
      </c>
      <c r="F722" s="1">
        <v>17</v>
      </c>
      <c r="G722" s="1">
        <v>40</v>
      </c>
      <c r="H722" s="1">
        <v>8.6406519999999993</v>
      </c>
      <c r="I722" s="1">
        <v>0.42499999999999999</v>
      </c>
      <c r="J722" s="1">
        <v>3672.2773000000002</v>
      </c>
      <c r="K722" s="1">
        <v>1</v>
      </c>
      <c r="L722" s="1">
        <v>4165.92</v>
      </c>
      <c r="M722" s="1" t="s">
        <v>19</v>
      </c>
      <c r="N722" s="1" t="s">
        <v>20</v>
      </c>
      <c r="O722" s="1" t="s">
        <v>20</v>
      </c>
      <c r="P722" s="2">
        <f t="shared" si="22"/>
        <v>2.4004301570841493E-4</v>
      </c>
      <c r="Q722" s="2">
        <f t="shared" si="23"/>
        <v>146.89109199999999</v>
      </c>
    </row>
    <row r="723" spans="1:17" ht="12.5" x14ac:dyDescent="0.25">
      <c r="A723" s="1" t="s">
        <v>127</v>
      </c>
      <c r="B723" s="1" t="s">
        <v>16</v>
      </c>
      <c r="C723" s="1" t="s">
        <v>46</v>
      </c>
      <c r="D723" s="1" t="s">
        <v>41</v>
      </c>
      <c r="E723" s="1">
        <v>648.01</v>
      </c>
      <c r="F723" s="1">
        <v>12</v>
      </c>
      <c r="G723" s="1">
        <v>35</v>
      </c>
      <c r="H723" s="1">
        <v>54.000833</v>
      </c>
      <c r="I723" s="1">
        <v>0.34285700000000002</v>
      </c>
      <c r="J723" s="1">
        <v>18514.57143</v>
      </c>
      <c r="K723" s="1">
        <v>0</v>
      </c>
      <c r="L723" s="1">
        <v>0</v>
      </c>
      <c r="M723" s="1" t="s">
        <v>19</v>
      </c>
      <c r="N723" s="1" t="s">
        <v>20</v>
      </c>
      <c r="O723" s="1" t="s">
        <v>20</v>
      </c>
      <c r="P723" s="2">
        <f t="shared" si="22"/>
        <v>0</v>
      </c>
      <c r="Q723" s="2">
        <f t="shared" si="23"/>
        <v>0</v>
      </c>
    </row>
    <row r="724" spans="1:17" ht="12.5" x14ac:dyDescent="0.25">
      <c r="A724" s="1" t="s">
        <v>139</v>
      </c>
      <c r="B724" s="1" t="s">
        <v>16</v>
      </c>
      <c r="C724" s="1" t="s">
        <v>46</v>
      </c>
      <c r="D724" s="1" t="s">
        <v>41</v>
      </c>
      <c r="E724" s="1">
        <v>270.58814999999998</v>
      </c>
      <c r="F724" s="1">
        <v>10</v>
      </c>
      <c r="G724" s="1">
        <v>19</v>
      </c>
      <c r="H724" s="1">
        <v>27.058814999999999</v>
      </c>
      <c r="I724" s="1">
        <v>0.52631600000000001</v>
      </c>
      <c r="J724" s="1">
        <v>14241.48158</v>
      </c>
      <c r="K724" s="1">
        <v>0</v>
      </c>
      <c r="L724" s="1">
        <v>0</v>
      </c>
      <c r="M724" s="1" t="s">
        <v>19</v>
      </c>
      <c r="N724" s="1" t="s">
        <v>20</v>
      </c>
      <c r="O724" s="1" t="s">
        <v>20</v>
      </c>
      <c r="P724" s="2">
        <f t="shared" si="22"/>
        <v>0</v>
      </c>
      <c r="Q724" s="2">
        <f t="shared" si="23"/>
        <v>0</v>
      </c>
    </row>
    <row r="725" spans="1:17" ht="12.5" x14ac:dyDescent="0.25">
      <c r="A725" s="1" t="s">
        <v>128</v>
      </c>
      <c r="B725" s="1" t="s">
        <v>16</v>
      </c>
      <c r="C725" s="1" t="s">
        <v>46</v>
      </c>
      <c r="D725" s="1" t="s">
        <v>41</v>
      </c>
      <c r="E725" s="1">
        <v>221.5</v>
      </c>
      <c r="F725" s="1">
        <v>11</v>
      </c>
      <c r="G725" s="1">
        <v>26</v>
      </c>
      <c r="H725" s="1">
        <v>20.136364</v>
      </c>
      <c r="I725" s="1">
        <v>0.42307699999999998</v>
      </c>
      <c r="J725" s="1">
        <v>8519.2307689999998</v>
      </c>
      <c r="K725" s="1">
        <v>0</v>
      </c>
      <c r="L725" s="1">
        <v>0</v>
      </c>
      <c r="M725" s="1" t="s">
        <v>19</v>
      </c>
      <c r="N725" s="1" t="s">
        <v>20</v>
      </c>
      <c r="O725" s="1" t="s">
        <v>20</v>
      </c>
      <c r="P725" s="2">
        <f t="shared" si="22"/>
        <v>0</v>
      </c>
      <c r="Q725" s="2">
        <f t="shared" si="23"/>
        <v>0</v>
      </c>
    </row>
    <row r="726" spans="1:17" ht="12.5" x14ac:dyDescent="0.25">
      <c r="A726" s="1" t="s">
        <v>129</v>
      </c>
      <c r="B726" s="1" t="s">
        <v>16</v>
      </c>
      <c r="C726" s="1" t="s">
        <v>46</v>
      </c>
      <c r="D726" s="1" t="s">
        <v>41</v>
      </c>
      <c r="E726" s="1">
        <v>6.6473120000000003</v>
      </c>
      <c r="F726" s="1">
        <v>5</v>
      </c>
      <c r="G726" s="1">
        <v>9</v>
      </c>
      <c r="H726" s="1">
        <v>1.3294619999999999</v>
      </c>
      <c r="I726" s="1">
        <v>0.55555600000000005</v>
      </c>
      <c r="J726" s="1">
        <v>738.59022200000004</v>
      </c>
      <c r="K726" s="1">
        <v>0</v>
      </c>
      <c r="L726" s="1">
        <v>0</v>
      </c>
      <c r="M726" s="1" t="s">
        <v>19</v>
      </c>
      <c r="N726" s="1" t="s">
        <v>20</v>
      </c>
      <c r="O726" s="1" t="s">
        <v>20</v>
      </c>
      <c r="P726" s="2">
        <f t="shared" si="22"/>
        <v>0</v>
      </c>
      <c r="Q726" s="2">
        <f t="shared" si="23"/>
        <v>0</v>
      </c>
    </row>
    <row r="727" spans="1:17" ht="12.5" x14ac:dyDescent="0.25">
      <c r="A727" s="1" t="s">
        <v>130</v>
      </c>
      <c r="B727" s="1" t="s">
        <v>16</v>
      </c>
      <c r="C727" s="1" t="s">
        <v>46</v>
      </c>
      <c r="D727" s="1" t="s">
        <v>41</v>
      </c>
      <c r="E727" s="1">
        <v>37.82</v>
      </c>
      <c r="F727" s="1">
        <v>13</v>
      </c>
      <c r="G727" s="1">
        <v>21</v>
      </c>
      <c r="H727" s="1">
        <v>2.9092310000000001</v>
      </c>
      <c r="I727" s="1">
        <v>0.61904800000000004</v>
      </c>
      <c r="J727" s="1">
        <v>1800.9523810000001</v>
      </c>
      <c r="K727" s="1">
        <v>0</v>
      </c>
      <c r="L727" s="1">
        <v>0</v>
      </c>
      <c r="M727" s="1" t="s">
        <v>19</v>
      </c>
      <c r="N727" s="1" t="s">
        <v>20</v>
      </c>
      <c r="O727" s="1" t="s">
        <v>20</v>
      </c>
      <c r="P727" s="2">
        <f t="shared" si="22"/>
        <v>0</v>
      </c>
      <c r="Q727" s="2">
        <f t="shared" si="23"/>
        <v>0</v>
      </c>
    </row>
    <row r="728" spans="1:17" ht="12.5" x14ac:dyDescent="0.25">
      <c r="A728" s="1" t="s">
        <v>131</v>
      </c>
      <c r="B728" s="1" t="s">
        <v>16</v>
      </c>
      <c r="C728" s="1" t="s">
        <v>46</v>
      </c>
      <c r="D728" s="1" t="s">
        <v>41</v>
      </c>
      <c r="E728" s="1">
        <v>39.042337000000003</v>
      </c>
      <c r="F728" s="1">
        <v>14</v>
      </c>
      <c r="G728" s="1">
        <v>28</v>
      </c>
      <c r="H728" s="1">
        <v>2.7887379999999999</v>
      </c>
      <c r="I728" s="1">
        <v>0.5</v>
      </c>
      <c r="J728" s="1">
        <v>1394.369179</v>
      </c>
      <c r="K728" s="1">
        <v>0</v>
      </c>
      <c r="L728" s="1">
        <v>0</v>
      </c>
      <c r="M728" s="1" t="s">
        <v>19</v>
      </c>
      <c r="N728" s="1" t="s">
        <v>20</v>
      </c>
      <c r="O728" s="1" t="s">
        <v>20</v>
      </c>
      <c r="P728" s="2">
        <f t="shared" si="22"/>
        <v>0</v>
      </c>
      <c r="Q728" s="2">
        <f t="shared" si="23"/>
        <v>0</v>
      </c>
    </row>
    <row r="729" spans="1:17" ht="12.5" x14ac:dyDescent="0.25">
      <c r="A729" s="1" t="s">
        <v>132</v>
      </c>
      <c r="B729" s="1" t="s">
        <v>16</v>
      </c>
      <c r="C729" s="1" t="s">
        <v>46</v>
      </c>
      <c r="D729" s="1" t="s">
        <v>41</v>
      </c>
      <c r="E729" s="1">
        <v>89.13</v>
      </c>
      <c r="F729" s="1">
        <v>8</v>
      </c>
      <c r="G729" s="1">
        <v>24</v>
      </c>
      <c r="H729" s="1">
        <v>11.141249999999999</v>
      </c>
      <c r="I729" s="1">
        <v>0.33333299999999999</v>
      </c>
      <c r="J729" s="1">
        <v>3713.75</v>
      </c>
      <c r="K729" s="1">
        <v>0</v>
      </c>
      <c r="L729" s="1">
        <v>0</v>
      </c>
      <c r="M729" s="1" t="s">
        <v>19</v>
      </c>
      <c r="N729" s="1" t="s">
        <v>20</v>
      </c>
      <c r="O729" s="1" t="s">
        <v>20</v>
      </c>
      <c r="P729" s="2">
        <f t="shared" si="22"/>
        <v>0</v>
      </c>
      <c r="Q729" s="2">
        <f t="shared" si="23"/>
        <v>0</v>
      </c>
    </row>
    <row r="730" spans="1:17" ht="12.5" x14ac:dyDescent="0.25">
      <c r="A730" s="1" t="s">
        <v>133</v>
      </c>
      <c r="B730" s="1" t="s">
        <v>16</v>
      </c>
      <c r="C730" s="1" t="s">
        <v>46</v>
      </c>
      <c r="D730" s="1" t="s">
        <v>41</v>
      </c>
      <c r="E730" s="1">
        <v>296.35708299999999</v>
      </c>
      <c r="F730" s="1">
        <v>3</v>
      </c>
      <c r="G730" s="1">
        <v>13</v>
      </c>
      <c r="H730" s="1">
        <v>98.785694000000007</v>
      </c>
      <c r="I730" s="1">
        <v>0.230769</v>
      </c>
      <c r="J730" s="1">
        <v>22796.698690000001</v>
      </c>
      <c r="K730" s="1">
        <v>0</v>
      </c>
      <c r="L730" s="1">
        <v>0</v>
      </c>
      <c r="M730" s="1" t="s">
        <v>19</v>
      </c>
      <c r="N730" s="1" t="s">
        <v>20</v>
      </c>
      <c r="O730" s="1" t="s">
        <v>20</v>
      </c>
      <c r="P730" s="2">
        <f t="shared" si="22"/>
        <v>0</v>
      </c>
      <c r="Q730" s="2">
        <f t="shared" si="23"/>
        <v>0</v>
      </c>
    </row>
    <row r="731" spans="1:17" ht="12.5" x14ac:dyDescent="0.25">
      <c r="A731" s="1" t="s">
        <v>134</v>
      </c>
      <c r="B731" s="1" t="s">
        <v>16</v>
      </c>
      <c r="C731" s="1" t="s">
        <v>46</v>
      </c>
      <c r="D731" s="1" t="s">
        <v>41</v>
      </c>
      <c r="E731" s="1">
        <v>52.3</v>
      </c>
      <c r="F731" s="1">
        <v>5</v>
      </c>
      <c r="G731" s="1">
        <v>14</v>
      </c>
      <c r="H731" s="1">
        <v>10.46</v>
      </c>
      <c r="I731" s="1">
        <v>0.35714299999999999</v>
      </c>
      <c r="J731" s="1">
        <v>3735.7142859999999</v>
      </c>
      <c r="K731" s="1">
        <v>0</v>
      </c>
      <c r="L731" s="1">
        <v>0</v>
      </c>
      <c r="M731" s="1" t="s">
        <v>19</v>
      </c>
      <c r="N731" s="1" t="s">
        <v>20</v>
      </c>
      <c r="O731" s="1" t="s">
        <v>20</v>
      </c>
      <c r="P731" s="2">
        <f t="shared" si="22"/>
        <v>0</v>
      </c>
      <c r="Q731" s="2">
        <f t="shared" si="23"/>
        <v>0</v>
      </c>
    </row>
    <row r="732" spans="1:17" ht="12.5" x14ac:dyDescent="0.25">
      <c r="A732" s="1" t="s">
        <v>135</v>
      </c>
      <c r="B732" s="1" t="s">
        <v>16</v>
      </c>
      <c r="C732" s="1" t="s">
        <v>46</v>
      </c>
      <c r="D732" s="1" t="s">
        <v>41</v>
      </c>
      <c r="E732" s="1">
        <v>208.88</v>
      </c>
      <c r="F732" s="1">
        <v>16</v>
      </c>
      <c r="G732" s="1">
        <v>41</v>
      </c>
      <c r="H732" s="1">
        <v>13.055</v>
      </c>
      <c r="I732" s="1">
        <v>0.39024399999999998</v>
      </c>
      <c r="J732" s="1">
        <v>5094.6341460000003</v>
      </c>
      <c r="K732" s="1">
        <v>0.51</v>
      </c>
      <c r="L732" s="1">
        <v>4913.8026300000001</v>
      </c>
      <c r="M732" s="1" t="s">
        <v>19</v>
      </c>
      <c r="N732" s="1" t="s">
        <v>20</v>
      </c>
      <c r="O732" s="1" t="s">
        <v>20</v>
      </c>
      <c r="P732" s="2">
        <f t="shared" si="22"/>
        <v>1.0378927246412418E-4</v>
      </c>
      <c r="Q732" s="2">
        <f t="shared" si="23"/>
        <v>409.56862745098039</v>
      </c>
    </row>
    <row r="733" spans="1:17" ht="12.5" x14ac:dyDescent="0.25">
      <c r="A733" s="1" t="s">
        <v>136</v>
      </c>
      <c r="B733" s="1" t="s">
        <v>16</v>
      </c>
      <c r="C733" s="1" t="s">
        <v>46</v>
      </c>
      <c r="D733" s="1" t="s">
        <v>41</v>
      </c>
      <c r="E733" s="1">
        <v>211.78</v>
      </c>
      <c r="F733" s="1">
        <v>9</v>
      </c>
      <c r="G733" s="1">
        <v>18</v>
      </c>
      <c r="H733" s="1">
        <v>23.531110999999999</v>
      </c>
      <c r="I733" s="1">
        <v>0.5</v>
      </c>
      <c r="J733" s="1">
        <v>11765.555560000001</v>
      </c>
      <c r="K733" s="1">
        <v>0</v>
      </c>
      <c r="L733" s="1">
        <v>0</v>
      </c>
      <c r="M733" s="1" t="s">
        <v>19</v>
      </c>
      <c r="N733" s="1" t="s">
        <v>20</v>
      </c>
      <c r="O733" s="1" t="s">
        <v>20</v>
      </c>
      <c r="P733" s="2">
        <f t="shared" si="22"/>
        <v>0</v>
      </c>
      <c r="Q733" s="2">
        <f t="shared" si="23"/>
        <v>0</v>
      </c>
    </row>
    <row r="734" spans="1:17" ht="12.5" x14ac:dyDescent="0.25">
      <c r="A734" s="3">
        <v>46029</v>
      </c>
      <c r="B734" s="1" t="s">
        <v>16</v>
      </c>
      <c r="C734" s="1" t="s">
        <v>56</v>
      </c>
      <c r="D734" s="1" t="s">
        <v>41</v>
      </c>
      <c r="E734" s="1">
        <v>168.19560200000001</v>
      </c>
      <c r="F734" s="1">
        <v>3</v>
      </c>
      <c r="G734" s="1">
        <v>388</v>
      </c>
      <c r="H734" s="1">
        <v>56.065201000000002</v>
      </c>
      <c r="I734" s="1">
        <v>7.7320000000000002E-3</v>
      </c>
      <c r="J734" s="1">
        <v>433.49382000000003</v>
      </c>
      <c r="K734" s="1">
        <v>0</v>
      </c>
      <c r="L734" s="1">
        <v>0</v>
      </c>
      <c r="M734" s="1" t="s">
        <v>19</v>
      </c>
      <c r="N734" s="1" t="s">
        <v>20</v>
      </c>
      <c r="O734" s="1" t="s">
        <v>20</v>
      </c>
      <c r="P734" s="2">
        <f t="shared" si="22"/>
        <v>0</v>
      </c>
      <c r="Q734" s="2">
        <f t="shared" si="23"/>
        <v>0</v>
      </c>
    </row>
    <row r="735" spans="1:17" ht="12.5" x14ac:dyDescent="0.25">
      <c r="A735" s="3">
        <v>46119</v>
      </c>
      <c r="B735" s="1" t="s">
        <v>16</v>
      </c>
      <c r="C735" s="1" t="s">
        <v>56</v>
      </c>
      <c r="D735" s="1" t="s">
        <v>41</v>
      </c>
      <c r="E735" s="1">
        <v>407.69</v>
      </c>
      <c r="F735" s="1">
        <v>10</v>
      </c>
      <c r="G735" s="1">
        <v>734</v>
      </c>
      <c r="H735" s="1">
        <v>40.768999999999998</v>
      </c>
      <c r="I735" s="1">
        <v>1.3624000000000001E-2</v>
      </c>
      <c r="J735" s="1">
        <v>555.43596700000001</v>
      </c>
      <c r="K735" s="1">
        <v>0</v>
      </c>
      <c r="L735" s="1">
        <v>0</v>
      </c>
      <c r="M735" s="1" t="s">
        <v>19</v>
      </c>
      <c r="N735" s="1" t="s">
        <v>20</v>
      </c>
      <c r="O735" s="1" t="s">
        <v>20</v>
      </c>
      <c r="P735" s="2">
        <f t="shared" si="22"/>
        <v>0</v>
      </c>
      <c r="Q735" s="2">
        <f t="shared" si="23"/>
        <v>0</v>
      </c>
    </row>
    <row r="736" spans="1:17" ht="12.5" x14ac:dyDescent="0.25">
      <c r="A736" s="3">
        <v>46149</v>
      </c>
      <c r="B736" s="1" t="s">
        <v>16</v>
      </c>
      <c r="C736" s="1" t="s">
        <v>56</v>
      </c>
      <c r="D736" s="1" t="s">
        <v>41</v>
      </c>
      <c r="E736" s="1">
        <v>215.25</v>
      </c>
      <c r="F736" s="1">
        <v>7</v>
      </c>
      <c r="G736" s="1">
        <v>420</v>
      </c>
      <c r="H736" s="1">
        <v>30.75</v>
      </c>
      <c r="I736" s="1">
        <v>1.6667000000000001E-2</v>
      </c>
      <c r="J736" s="1">
        <v>512.5</v>
      </c>
      <c r="K736" s="1">
        <v>0</v>
      </c>
      <c r="L736" s="1">
        <v>0</v>
      </c>
      <c r="M736" s="1" t="s">
        <v>19</v>
      </c>
      <c r="N736" s="1" t="s">
        <v>20</v>
      </c>
      <c r="O736" s="1" t="s">
        <v>20</v>
      </c>
      <c r="P736" s="2">
        <f t="shared" si="22"/>
        <v>0</v>
      </c>
      <c r="Q736" s="2">
        <f t="shared" si="23"/>
        <v>0</v>
      </c>
    </row>
    <row r="737" spans="1:17" ht="12.5" x14ac:dyDescent="0.25">
      <c r="A737" s="3">
        <v>46180</v>
      </c>
      <c r="B737" s="1" t="s">
        <v>16</v>
      </c>
      <c r="C737" s="1" t="s">
        <v>56</v>
      </c>
      <c r="D737" s="1" t="s">
        <v>41</v>
      </c>
      <c r="E737" s="1">
        <v>54.37</v>
      </c>
      <c r="F737" s="1">
        <v>4</v>
      </c>
      <c r="G737" s="1">
        <v>736</v>
      </c>
      <c r="H737" s="1">
        <v>13.592499999999999</v>
      </c>
      <c r="I737" s="1">
        <v>5.4349999999999997E-3</v>
      </c>
      <c r="J737" s="1">
        <v>73.872282999999996</v>
      </c>
      <c r="K737" s="1">
        <v>0</v>
      </c>
      <c r="L737" s="1">
        <v>0</v>
      </c>
      <c r="M737" s="1" t="s">
        <v>19</v>
      </c>
      <c r="N737" s="1" t="s">
        <v>20</v>
      </c>
      <c r="O737" s="1" t="s">
        <v>20</v>
      </c>
      <c r="P737" s="2">
        <f t="shared" si="22"/>
        <v>0</v>
      </c>
      <c r="Q737" s="2">
        <f t="shared" si="23"/>
        <v>0</v>
      </c>
    </row>
    <row r="738" spans="1:17" ht="12.5" x14ac:dyDescent="0.25">
      <c r="A738" s="3">
        <v>46210</v>
      </c>
      <c r="B738" s="1" t="s">
        <v>16</v>
      </c>
      <c r="C738" s="1" t="s">
        <v>56</v>
      </c>
      <c r="D738" s="1" t="s">
        <v>41</v>
      </c>
      <c r="E738" s="1">
        <v>166.07</v>
      </c>
      <c r="F738" s="1">
        <v>6</v>
      </c>
      <c r="G738" s="1">
        <v>279</v>
      </c>
      <c r="H738" s="1">
        <v>27.678332999999999</v>
      </c>
      <c r="I738" s="1">
        <v>2.1505E-2</v>
      </c>
      <c r="J738" s="1">
        <v>595.23297500000001</v>
      </c>
      <c r="K738" s="1">
        <v>0</v>
      </c>
      <c r="L738" s="1">
        <v>0</v>
      </c>
      <c r="M738" s="1" t="s">
        <v>19</v>
      </c>
      <c r="N738" s="1" t="s">
        <v>20</v>
      </c>
      <c r="O738" s="1" t="s">
        <v>20</v>
      </c>
      <c r="P738" s="2">
        <f t="shared" si="22"/>
        <v>0</v>
      </c>
      <c r="Q738" s="2">
        <f t="shared" si="23"/>
        <v>0</v>
      </c>
    </row>
    <row r="739" spans="1:17" ht="12.5" x14ac:dyDescent="0.25">
      <c r="A739" s="3">
        <v>46241</v>
      </c>
      <c r="B739" s="1" t="s">
        <v>16</v>
      </c>
      <c r="C739" s="1" t="s">
        <v>56</v>
      </c>
      <c r="D739" s="1" t="s">
        <v>41</v>
      </c>
      <c r="E739" s="1">
        <v>179.34</v>
      </c>
      <c r="F739" s="1">
        <v>8</v>
      </c>
      <c r="G739" s="1">
        <v>548</v>
      </c>
      <c r="H739" s="1">
        <v>22.4175</v>
      </c>
      <c r="I739" s="1">
        <v>1.4599000000000001E-2</v>
      </c>
      <c r="J739" s="1">
        <v>327.26277399999998</v>
      </c>
      <c r="K739" s="1">
        <v>1</v>
      </c>
      <c r="L739" s="1">
        <v>43450</v>
      </c>
      <c r="M739" s="1" t="s">
        <v>19</v>
      </c>
      <c r="N739" s="1" t="s">
        <v>20</v>
      </c>
      <c r="O739" s="1" t="s">
        <v>20</v>
      </c>
      <c r="P739" s="2">
        <f t="shared" si="22"/>
        <v>2.3014959723820482E-5</v>
      </c>
      <c r="Q739" s="2">
        <f t="shared" si="23"/>
        <v>179.34</v>
      </c>
    </row>
    <row r="740" spans="1:17" ht="12.5" x14ac:dyDescent="0.25">
      <c r="A740" s="3">
        <v>46272</v>
      </c>
      <c r="B740" s="1" t="s">
        <v>16</v>
      </c>
      <c r="C740" s="1" t="s">
        <v>56</v>
      </c>
      <c r="D740" s="1" t="s">
        <v>41</v>
      </c>
      <c r="E740" s="1">
        <v>25.9</v>
      </c>
      <c r="F740" s="1">
        <v>1</v>
      </c>
      <c r="G740" s="1">
        <v>171</v>
      </c>
      <c r="H740" s="1">
        <v>25.9</v>
      </c>
      <c r="I740" s="1">
        <v>5.8479999999999999E-3</v>
      </c>
      <c r="J740" s="1">
        <v>151.46198799999999</v>
      </c>
      <c r="K740" s="1">
        <v>0</v>
      </c>
      <c r="L740" s="1">
        <v>0</v>
      </c>
      <c r="M740" s="1" t="s">
        <v>19</v>
      </c>
      <c r="N740" s="1" t="s">
        <v>20</v>
      </c>
      <c r="O740" s="1" t="s">
        <v>20</v>
      </c>
      <c r="P740" s="2">
        <f t="shared" si="22"/>
        <v>0</v>
      </c>
      <c r="Q740" s="2">
        <f t="shared" si="23"/>
        <v>0</v>
      </c>
    </row>
    <row r="741" spans="1:17" ht="12.5" x14ac:dyDescent="0.25">
      <c r="A741" s="3">
        <v>46302</v>
      </c>
      <c r="B741" s="1" t="s">
        <v>16</v>
      </c>
      <c r="C741" s="1" t="s">
        <v>56</v>
      </c>
      <c r="D741" s="1" t="s">
        <v>41</v>
      </c>
      <c r="E741" s="1">
        <v>128.91</v>
      </c>
      <c r="F741" s="1">
        <v>5</v>
      </c>
      <c r="G741" s="1">
        <v>166</v>
      </c>
      <c r="H741" s="1">
        <v>25.782</v>
      </c>
      <c r="I741" s="1">
        <v>3.0120000000000001E-2</v>
      </c>
      <c r="J741" s="1">
        <v>776.56626500000004</v>
      </c>
      <c r="K741" s="1">
        <v>0</v>
      </c>
      <c r="L741" s="1">
        <v>0</v>
      </c>
      <c r="M741" s="1" t="s">
        <v>19</v>
      </c>
      <c r="N741" s="1" t="s">
        <v>20</v>
      </c>
      <c r="O741" s="1" t="s">
        <v>20</v>
      </c>
      <c r="P741" s="2">
        <f t="shared" si="22"/>
        <v>0</v>
      </c>
      <c r="Q741" s="2">
        <f t="shared" si="23"/>
        <v>0</v>
      </c>
    </row>
    <row r="742" spans="1:17" ht="12.5" x14ac:dyDescent="0.25">
      <c r="A742" s="3">
        <v>46333</v>
      </c>
      <c r="B742" s="1" t="s">
        <v>16</v>
      </c>
      <c r="C742" s="1" t="s">
        <v>56</v>
      </c>
      <c r="D742" s="1" t="s">
        <v>41</v>
      </c>
      <c r="E742" s="1">
        <v>696.41382499999997</v>
      </c>
      <c r="F742" s="1">
        <v>9</v>
      </c>
      <c r="G742" s="1">
        <v>260</v>
      </c>
      <c r="H742" s="1">
        <v>77.379313999999994</v>
      </c>
      <c r="I742" s="1">
        <v>3.4615E-2</v>
      </c>
      <c r="J742" s="1">
        <v>2678.5147120000001</v>
      </c>
      <c r="K742" s="1">
        <v>0</v>
      </c>
      <c r="L742" s="1">
        <v>0</v>
      </c>
      <c r="M742" s="1" t="s">
        <v>19</v>
      </c>
      <c r="N742" s="1" t="s">
        <v>20</v>
      </c>
      <c r="O742" s="1" t="s">
        <v>20</v>
      </c>
      <c r="P742" s="2">
        <f t="shared" si="22"/>
        <v>0</v>
      </c>
      <c r="Q742" s="2">
        <f t="shared" si="23"/>
        <v>0</v>
      </c>
    </row>
    <row r="743" spans="1:17" ht="12.5" x14ac:dyDescent="0.25">
      <c r="A743" s="3">
        <v>46363</v>
      </c>
      <c r="B743" s="1" t="s">
        <v>16</v>
      </c>
      <c r="C743" s="1" t="s">
        <v>56</v>
      </c>
      <c r="D743" s="1" t="s">
        <v>41</v>
      </c>
      <c r="E743" s="1">
        <v>371.11</v>
      </c>
      <c r="F743" s="1">
        <v>2</v>
      </c>
      <c r="G743" s="1">
        <v>399</v>
      </c>
      <c r="H743" s="1">
        <v>185.55500000000001</v>
      </c>
      <c r="I743" s="1">
        <v>5.0130000000000001E-3</v>
      </c>
      <c r="J743" s="1">
        <v>930.10025099999996</v>
      </c>
      <c r="K743" s="1">
        <v>0</v>
      </c>
      <c r="L743" s="1">
        <v>0</v>
      </c>
      <c r="M743" s="1" t="s">
        <v>19</v>
      </c>
      <c r="N743" s="1" t="s">
        <v>20</v>
      </c>
      <c r="O743" s="1" t="s">
        <v>20</v>
      </c>
      <c r="P743" s="2">
        <f t="shared" si="22"/>
        <v>0</v>
      </c>
      <c r="Q743" s="2">
        <f t="shared" si="23"/>
        <v>0</v>
      </c>
    </row>
    <row r="744" spans="1:17" ht="12.5" x14ac:dyDescent="0.25">
      <c r="A744" s="1" t="s">
        <v>137</v>
      </c>
      <c r="B744" s="1" t="s">
        <v>16</v>
      </c>
      <c r="C744" s="1" t="s">
        <v>56</v>
      </c>
      <c r="D744" s="1" t="s">
        <v>41</v>
      </c>
      <c r="E744" s="1">
        <v>360.1</v>
      </c>
      <c r="F744" s="1">
        <v>6</v>
      </c>
      <c r="G744" s="1">
        <v>167</v>
      </c>
      <c r="H744" s="1">
        <v>60.016666999999998</v>
      </c>
      <c r="I744" s="1">
        <v>3.5928000000000002E-2</v>
      </c>
      <c r="J744" s="1">
        <v>2156.287425</v>
      </c>
      <c r="K744" s="1">
        <v>0</v>
      </c>
      <c r="L744" s="1">
        <v>0</v>
      </c>
      <c r="M744" s="1" t="s">
        <v>19</v>
      </c>
      <c r="N744" s="1" t="s">
        <v>20</v>
      </c>
      <c r="O744" s="1" t="s">
        <v>20</v>
      </c>
      <c r="P744" s="2">
        <f t="shared" si="22"/>
        <v>0</v>
      </c>
      <c r="Q744" s="2">
        <f t="shared" si="23"/>
        <v>0</v>
      </c>
    </row>
    <row r="745" spans="1:17" ht="12.5" x14ac:dyDescent="0.25">
      <c r="A745" s="1" t="s">
        <v>138</v>
      </c>
      <c r="B745" s="1" t="s">
        <v>16</v>
      </c>
      <c r="C745" s="1" t="s">
        <v>56</v>
      </c>
      <c r="D745" s="1" t="s">
        <v>41</v>
      </c>
      <c r="E745" s="1">
        <v>12.39</v>
      </c>
      <c r="F745" s="1">
        <v>1</v>
      </c>
      <c r="G745" s="1">
        <v>85</v>
      </c>
      <c r="H745" s="1">
        <v>12.39</v>
      </c>
      <c r="I745" s="1">
        <v>1.1764999999999999E-2</v>
      </c>
      <c r="J745" s="1">
        <v>145.76470599999999</v>
      </c>
      <c r="K745" s="1">
        <v>0</v>
      </c>
      <c r="L745" s="1">
        <v>0</v>
      </c>
      <c r="M745" s="1" t="s">
        <v>19</v>
      </c>
      <c r="N745" s="1" t="s">
        <v>20</v>
      </c>
      <c r="O745" s="1" t="s">
        <v>20</v>
      </c>
      <c r="P745" s="2">
        <f t="shared" si="22"/>
        <v>0</v>
      </c>
      <c r="Q745" s="2">
        <f t="shared" si="23"/>
        <v>0</v>
      </c>
    </row>
    <row r="746" spans="1:17" ht="12.5" x14ac:dyDescent="0.25">
      <c r="A746" s="1" t="s">
        <v>122</v>
      </c>
      <c r="B746" s="1" t="s">
        <v>16</v>
      </c>
      <c r="C746" s="1" t="s">
        <v>56</v>
      </c>
      <c r="D746" s="1" t="s">
        <v>41</v>
      </c>
      <c r="E746" s="1">
        <v>197.46</v>
      </c>
      <c r="F746" s="1">
        <v>7</v>
      </c>
      <c r="G746" s="1">
        <v>495</v>
      </c>
      <c r="H746" s="1">
        <v>28.208570999999999</v>
      </c>
      <c r="I746" s="1">
        <v>1.4141000000000001E-2</v>
      </c>
      <c r="J746" s="1">
        <v>398.90909099999999</v>
      </c>
      <c r="K746" s="1">
        <v>0</v>
      </c>
      <c r="L746" s="1">
        <v>0</v>
      </c>
      <c r="M746" s="1" t="s">
        <v>19</v>
      </c>
      <c r="N746" s="1" t="s">
        <v>20</v>
      </c>
      <c r="O746" s="1" t="s">
        <v>20</v>
      </c>
      <c r="P746" s="2">
        <f t="shared" si="22"/>
        <v>0</v>
      </c>
      <c r="Q746" s="2">
        <f t="shared" si="23"/>
        <v>0</v>
      </c>
    </row>
    <row r="747" spans="1:17" ht="12.5" x14ac:dyDescent="0.25">
      <c r="A747" s="1" t="s">
        <v>123</v>
      </c>
      <c r="B747" s="1" t="s">
        <v>16</v>
      </c>
      <c r="C747" s="1" t="s">
        <v>56</v>
      </c>
      <c r="D747" s="1" t="s">
        <v>41</v>
      </c>
      <c r="E747" s="1">
        <v>179.38</v>
      </c>
      <c r="F747" s="1">
        <v>9</v>
      </c>
      <c r="G747" s="1">
        <v>670</v>
      </c>
      <c r="H747" s="1">
        <v>19.931111000000001</v>
      </c>
      <c r="I747" s="1">
        <v>1.3433E-2</v>
      </c>
      <c r="J747" s="1">
        <v>267.73134299999998</v>
      </c>
      <c r="K747" s="1">
        <v>0</v>
      </c>
      <c r="L747" s="1">
        <v>0</v>
      </c>
      <c r="M747" s="1" t="s">
        <v>19</v>
      </c>
      <c r="N747" s="1" t="s">
        <v>20</v>
      </c>
      <c r="O747" s="1" t="s">
        <v>20</v>
      </c>
      <c r="P747" s="2">
        <f t="shared" si="22"/>
        <v>0</v>
      </c>
      <c r="Q747" s="2">
        <f t="shared" si="23"/>
        <v>0</v>
      </c>
    </row>
    <row r="748" spans="1:17" ht="12.5" x14ac:dyDescent="0.25">
      <c r="A748" s="1" t="s">
        <v>124</v>
      </c>
      <c r="B748" s="1" t="s">
        <v>16</v>
      </c>
      <c r="C748" s="1" t="s">
        <v>56</v>
      </c>
      <c r="D748" s="1" t="s">
        <v>41</v>
      </c>
      <c r="E748" s="1">
        <v>185.92</v>
      </c>
      <c r="F748" s="1">
        <v>7</v>
      </c>
      <c r="G748" s="1">
        <v>691</v>
      </c>
      <c r="H748" s="1">
        <v>26.56</v>
      </c>
      <c r="I748" s="1">
        <v>1.013E-2</v>
      </c>
      <c r="J748" s="1">
        <v>269.05933399999998</v>
      </c>
      <c r="K748" s="1">
        <v>0</v>
      </c>
      <c r="L748" s="1">
        <v>0</v>
      </c>
      <c r="M748" s="1" t="s">
        <v>19</v>
      </c>
      <c r="N748" s="1" t="s">
        <v>20</v>
      </c>
      <c r="O748" s="1" t="s">
        <v>20</v>
      </c>
      <c r="P748" s="2">
        <f t="shared" si="22"/>
        <v>0</v>
      </c>
      <c r="Q748" s="2">
        <f t="shared" si="23"/>
        <v>0</v>
      </c>
    </row>
    <row r="749" spans="1:17" ht="12.5" x14ac:dyDescent="0.25">
      <c r="A749" s="1" t="s">
        <v>125</v>
      </c>
      <c r="B749" s="1" t="s">
        <v>16</v>
      </c>
      <c r="C749" s="1" t="s">
        <v>56</v>
      </c>
      <c r="D749" s="1" t="s">
        <v>41</v>
      </c>
      <c r="E749" s="1">
        <v>173.35680500000001</v>
      </c>
      <c r="F749" s="1">
        <v>6</v>
      </c>
      <c r="G749" s="1">
        <v>584</v>
      </c>
      <c r="H749" s="1">
        <v>28.892800999999999</v>
      </c>
      <c r="I749" s="1">
        <v>1.0274E-2</v>
      </c>
      <c r="J749" s="1">
        <v>296.84384399999999</v>
      </c>
      <c r="K749" s="1">
        <v>0</v>
      </c>
      <c r="L749" s="1">
        <v>0</v>
      </c>
      <c r="M749" s="1" t="s">
        <v>19</v>
      </c>
      <c r="N749" s="1" t="s">
        <v>20</v>
      </c>
      <c r="O749" s="1" t="s">
        <v>20</v>
      </c>
      <c r="P749" s="2">
        <f t="shared" si="22"/>
        <v>0</v>
      </c>
      <c r="Q749" s="2">
        <f t="shared" si="23"/>
        <v>0</v>
      </c>
    </row>
    <row r="750" spans="1:17" ht="12.5" x14ac:dyDescent="0.25">
      <c r="A750" s="1" t="s">
        <v>126</v>
      </c>
      <c r="B750" s="1" t="s">
        <v>16</v>
      </c>
      <c r="C750" s="1" t="s">
        <v>56</v>
      </c>
      <c r="D750" s="1" t="s">
        <v>41</v>
      </c>
      <c r="E750" s="1">
        <v>333.3</v>
      </c>
      <c r="F750" s="1">
        <v>9</v>
      </c>
      <c r="G750" s="1">
        <v>400</v>
      </c>
      <c r="H750" s="1">
        <v>37.033332999999999</v>
      </c>
      <c r="I750" s="1">
        <v>2.2499999999999999E-2</v>
      </c>
      <c r="J750" s="1">
        <v>833.25</v>
      </c>
      <c r="K750" s="1">
        <v>0</v>
      </c>
      <c r="L750" s="1">
        <v>0</v>
      </c>
      <c r="M750" s="1" t="s">
        <v>19</v>
      </c>
      <c r="N750" s="1" t="s">
        <v>20</v>
      </c>
      <c r="O750" s="1" t="s">
        <v>20</v>
      </c>
      <c r="P750" s="2">
        <f t="shared" si="22"/>
        <v>0</v>
      </c>
      <c r="Q750" s="2">
        <f t="shared" si="23"/>
        <v>0</v>
      </c>
    </row>
    <row r="751" spans="1:17" ht="12.5" x14ac:dyDescent="0.25">
      <c r="A751" s="1" t="s">
        <v>127</v>
      </c>
      <c r="B751" s="1" t="s">
        <v>16</v>
      </c>
      <c r="C751" s="1" t="s">
        <v>56</v>
      </c>
      <c r="D751" s="1" t="s">
        <v>41</v>
      </c>
      <c r="E751" s="1">
        <v>1459.43</v>
      </c>
      <c r="F751" s="1">
        <v>8</v>
      </c>
      <c r="G751" s="1">
        <v>306</v>
      </c>
      <c r="H751" s="1">
        <v>182.42875000000001</v>
      </c>
      <c r="I751" s="1">
        <v>2.6144000000000001E-2</v>
      </c>
      <c r="J751" s="1">
        <v>4769.3790849999996</v>
      </c>
      <c r="K751" s="1">
        <v>0</v>
      </c>
      <c r="L751" s="1">
        <v>0</v>
      </c>
      <c r="M751" s="1" t="s">
        <v>19</v>
      </c>
      <c r="N751" s="1" t="s">
        <v>20</v>
      </c>
      <c r="O751" s="1" t="s">
        <v>20</v>
      </c>
      <c r="P751" s="2">
        <f t="shared" si="22"/>
        <v>0</v>
      </c>
      <c r="Q751" s="2">
        <f t="shared" si="23"/>
        <v>0</v>
      </c>
    </row>
    <row r="752" spans="1:17" ht="12.5" x14ac:dyDescent="0.25">
      <c r="A752" s="1" t="s">
        <v>128</v>
      </c>
      <c r="B752" s="1" t="s">
        <v>16</v>
      </c>
      <c r="C752" s="1" t="s">
        <v>56</v>
      </c>
      <c r="D752" s="1" t="s">
        <v>41</v>
      </c>
      <c r="E752" s="1">
        <v>19.329695000000001</v>
      </c>
      <c r="F752" s="1">
        <v>4</v>
      </c>
      <c r="G752" s="1">
        <v>161</v>
      </c>
      <c r="H752" s="1">
        <v>4.8324239999999996</v>
      </c>
      <c r="I752" s="1">
        <v>2.4844999999999999E-2</v>
      </c>
      <c r="J752" s="1">
        <v>120.06021699999999</v>
      </c>
      <c r="K752" s="1">
        <v>0</v>
      </c>
      <c r="L752" s="1">
        <v>0</v>
      </c>
      <c r="M752" s="1" t="s">
        <v>19</v>
      </c>
      <c r="N752" s="1" t="s">
        <v>20</v>
      </c>
      <c r="O752" s="1" t="s">
        <v>20</v>
      </c>
      <c r="P752" s="2">
        <f t="shared" si="22"/>
        <v>0</v>
      </c>
      <c r="Q752" s="2">
        <f t="shared" si="23"/>
        <v>0</v>
      </c>
    </row>
    <row r="753" spans="1:17" ht="12.5" x14ac:dyDescent="0.25">
      <c r="A753" s="1" t="s">
        <v>129</v>
      </c>
      <c r="B753" s="1" t="s">
        <v>16</v>
      </c>
      <c r="C753" s="1" t="s">
        <v>56</v>
      </c>
      <c r="D753" s="1" t="s">
        <v>41</v>
      </c>
      <c r="E753" s="1">
        <v>66.287988999999996</v>
      </c>
      <c r="F753" s="1">
        <v>2</v>
      </c>
      <c r="G753" s="1">
        <v>159</v>
      </c>
      <c r="H753" s="1">
        <v>33.143993999999999</v>
      </c>
      <c r="I753" s="1">
        <v>1.2579E-2</v>
      </c>
      <c r="J753" s="1">
        <v>416.90559100000002</v>
      </c>
      <c r="K753" s="1">
        <v>0</v>
      </c>
      <c r="L753" s="1">
        <v>0</v>
      </c>
      <c r="M753" s="1" t="s">
        <v>19</v>
      </c>
      <c r="N753" s="1" t="s">
        <v>20</v>
      </c>
      <c r="O753" s="1" t="s">
        <v>20</v>
      </c>
      <c r="P753" s="2">
        <f t="shared" si="22"/>
        <v>0</v>
      </c>
      <c r="Q753" s="2">
        <f t="shared" si="23"/>
        <v>0</v>
      </c>
    </row>
    <row r="754" spans="1:17" ht="12.5" x14ac:dyDescent="0.25">
      <c r="A754" s="1" t="s">
        <v>130</v>
      </c>
      <c r="B754" s="1" t="s">
        <v>16</v>
      </c>
      <c r="C754" s="1" t="s">
        <v>56</v>
      </c>
      <c r="D754" s="1" t="s">
        <v>41</v>
      </c>
      <c r="E754" s="1">
        <v>63.395814999999999</v>
      </c>
      <c r="F754" s="1">
        <v>3</v>
      </c>
      <c r="G754" s="1">
        <v>407</v>
      </c>
      <c r="H754" s="1">
        <v>21.131938000000002</v>
      </c>
      <c r="I754" s="1">
        <v>7.3709999999999999E-3</v>
      </c>
      <c r="J754" s="1">
        <v>155.76367300000001</v>
      </c>
      <c r="K754" s="1">
        <v>0</v>
      </c>
      <c r="L754" s="1">
        <v>0</v>
      </c>
      <c r="M754" s="1" t="s">
        <v>19</v>
      </c>
      <c r="N754" s="1" t="s">
        <v>20</v>
      </c>
      <c r="O754" s="1" t="s">
        <v>20</v>
      </c>
      <c r="P754" s="2">
        <f t="shared" si="22"/>
        <v>0</v>
      </c>
      <c r="Q754" s="2">
        <f t="shared" si="23"/>
        <v>0</v>
      </c>
    </row>
    <row r="755" spans="1:17" ht="12.5" x14ac:dyDescent="0.25">
      <c r="A755" s="1" t="s">
        <v>132</v>
      </c>
      <c r="B755" s="1" t="s">
        <v>16</v>
      </c>
      <c r="C755" s="1" t="s">
        <v>56</v>
      </c>
      <c r="D755" s="1" t="s">
        <v>41</v>
      </c>
      <c r="E755" s="1">
        <v>194.73657499999999</v>
      </c>
      <c r="F755" s="1">
        <v>6</v>
      </c>
      <c r="G755" s="1">
        <v>163</v>
      </c>
      <c r="H755" s="1">
        <v>32.456096000000002</v>
      </c>
      <c r="I755" s="1">
        <v>3.6810000000000002E-2</v>
      </c>
      <c r="J755" s="1">
        <v>1194.702914</v>
      </c>
      <c r="K755" s="1">
        <v>0.16</v>
      </c>
      <c r="L755" s="1">
        <v>1552.0626</v>
      </c>
      <c r="M755" s="1" t="s">
        <v>19</v>
      </c>
      <c r="N755" s="1" t="s">
        <v>20</v>
      </c>
      <c r="O755" s="1" t="s">
        <v>20</v>
      </c>
      <c r="P755" s="2">
        <f t="shared" si="22"/>
        <v>1.0308862542013448E-4</v>
      </c>
      <c r="Q755" s="2">
        <f t="shared" si="23"/>
        <v>1217.1035937499998</v>
      </c>
    </row>
    <row r="756" spans="1:17" ht="12.5" x14ac:dyDescent="0.25">
      <c r="A756" s="1" t="s">
        <v>133</v>
      </c>
      <c r="B756" s="1" t="s">
        <v>16</v>
      </c>
      <c r="C756" s="1" t="s">
        <v>56</v>
      </c>
      <c r="D756" s="1" t="s">
        <v>41</v>
      </c>
      <c r="E756" s="1">
        <v>10.395614999999999</v>
      </c>
      <c r="F756" s="1">
        <v>1</v>
      </c>
      <c r="G756" s="1">
        <v>118</v>
      </c>
      <c r="H756" s="1">
        <v>10.395614999999999</v>
      </c>
      <c r="I756" s="1">
        <v>8.4749999999999999E-3</v>
      </c>
      <c r="J756" s="1">
        <v>88.098432000000003</v>
      </c>
      <c r="K756" s="1">
        <v>0.16</v>
      </c>
      <c r="L756" s="1">
        <v>1552.0626</v>
      </c>
      <c r="M756" s="1" t="s">
        <v>19</v>
      </c>
      <c r="N756" s="1" t="s">
        <v>20</v>
      </c>
      <c r="O756" s="1" t="s">
        <v>20</v>
      </c>
      <c r="P756" s="2">
        <f t="shared" si="22"/>
        <v>1.0308862542013448E-4</v>
      </c>
      <c r="Q756" s="2">
        <f t="shared" si="23"/>
        <v>64.972593750000001</v>
      </c>
    </row>
    <row r="757" spans="1:17" ht="12.5" x14ac:dyDescent="0.25">
      <c r="A757" s="1" t="s">
        <v>134</v>
      </c>
      <c r="B757" s="1" t="s">
        <v>16</v>
      </c>
      <c r="C757" s="1" t="s">
        <v>56</v>
      </c>
      <c r="D757" s="1" t="s">
        <v>41</v>
      </c>
      <c r="E757" s="1">
        <v>79.623683</v>
      </c>
      <c r="F757" s="1">
        <v>4</v>
      </c>
      <c r="G757" s="1">
        <v>164</v>
      </c>
      <c r="H757" s="1">
        <v>19.905920999999999</v>
      </c>
      <c r="I757" s="1">
        <v>2.4389999999999998E-2</v>
      </c>
      <c r="J757" s="1">
        <v>485.51026200000001</v>
      </c>
      <c r="K757" s="1">
        <v>0.16</v>
      </c>
      <c r="L757" s="1">
        <v>1552.0721699999999</v>
      </c>
      <c r="M757" s="1" t="s">
        <v>19</v>
      </c>
      <c r="N757" s="1" t="s">
        <v>20</v>
      </c>
      <c r="O757" s="1" t="s">
        <v>20</v>
      </c>
      <c r="P757" s="2">
        <f t="shared" si="22"/>
        <v>1.030879897807845E-4</v>
      </c>
      <c r="Q757" s="2">
        <f t="shared" si="23"/>
        <v>497.64801875000001</v>
      </c>
    </row>
    <row r="758" spans="1:17" ht="12.5" x14ac:dyDescent="0.25">
      <c r="A758" s="1" t="s">
        <v>135</v>
      </c>
      <c r="B758" s="1" t="s">
        <v>16</v>
      </c>
      <c r="C758" s="1" t="s">
        <v>56</v>
      </c>
      <c r="D758" s="1" t="s">
        <v>41</v>
      </c>
      <c r="E758" s="1">
        <v>366.658165</v>
      </c>
      <c r="F758" s="1">
        <v>9</v>
      </c>
      <c r="G758" s="1">
        <v>415</v>
      </c>
      <c r="H758" s="1">
        <v>40.739795999999998</v>
      </c>
      <c r="I758" s="1">
        <v>2.1687000000000001E-2</v>
      </c>
      <c r="J758" s="1">
        <v>883.51365099999998</v>
      </c>
      <c r="K758" s="1">
        <v>0</v>
      </c>
      <c r="L758" s="1">
        <v>0</v>
      </c>
      <c r="M758" s="1" t="s">
        <v>19</v>
      </c>
      <c r="N758" s="1" t="s">
        <v>20</v>
      </c>
      <c r="O758" s="1" t="s">
        <v>20</v>
      </c>
      <c r="P758" s="2">
        <f t="shared" si="22"/>
        <v>0</v>
      </c>
      <c r="Q758" s="2">
        <f t="shared" si="23"/>
        <v>0</v>
      </c>
    </row>
    <row r="759" spans="1:17" ht="12.5" x14ac:dyDescent="0.25">
      <c r="A759" s="1" t="s">
        <v>136</v>
      </c>
      <c r="B759" s="1" t="s">
        <v>16</v>
      </c>
      <c r="C759" s="1" t="s">
        <v>56</v>
      </c>
      <c r="D759" s="1" t="s">
        <v>41</v>
      </c>
      <c r="E759" s="1">
        <v>65.91</v>
      </c>
      <c r="F759" s="1">
        <v>4</v>
      </c>
      <c r="G759" s="1">
        <v>245</v>
      </c>
      <c r="H759" s="1">
        <v>16.477499999999999</v>
      </c>
      <c r="I759" s="1">
        <v>1.6327000000000001E-2</v>
      </c>
      <c r="J759" s="1">
        <v>269.02040799999997</v>
      </c>
      <c r="K759" s="1">
        <v>0</v>
      </c>
      <c r="L759" s="1">
        <v>0</v>
      </c>
      <c r="M759" s="1" t="s">
        <v>19</v>
      </c>
      <c r="N759" s="1" t="s">
        <v>20</v>
      </c>
      <c r="O759" s="1" t="s">
        <v>20</v>
      </c>
      <c r="P759" s="2">
        <f t="shared" si="22"/>
        <v>0</v>
      </c>
      <c r="Q759" s="2">
        <f t="shared" si="23"/>
        <v>0</v>
      </c>
    </row>
    <row r="760" spans="1:17" ht="12.5" x14ac:dyDescent="0.25">
      <c r="A760" s="3">
        <v>46029</v>
      </c>
      <c r="B760" s="1" t="s">
        <v>16</v>
      </c>
      <c r="C760" s="1" t="s">
        <v>40</v>
      </c>
      <c r="D760" s="1" t="s">
        <v>41</v>
      </c>
      <c r="E760" s="1">
        <v>669.14872600000001</v>
      </c>
      <c r="F760" s="1">
        <v>73</v>
      </c>
      <c r="G760" s="1">
        <v>176</v>
      </c>
      <c r="H760" s="1">
        <v>9.1664209999999997</v>
      </c>
      <c r="I760" s="1">
        <v>0.414773</v>
      </c>
      <c r="J760" s="1">
        <v>3801.9813979999999</v>
      </c>
      <c r="K760" s="1">
        <v>1</v>
      </c>
      <c r="L760" s="1">
        <v>7990</v>
      </c>
      <c r="M760" s="1" t="s">
        <v>31</v>
      </c>
      <c r="N760" s="1" t="s">
        <v>31</v>
      </c>
      <c r="O760" s="1" t="s">
        <v>31</v>
      </c>
      <c r="P760" s="2">
        <f t="shared" si="22"/>
        <v>1.2515644555694618E-4</v>
      </c>
      <c r="Q760" s="2">
        <f t="shared" si="23"/>
        <v>669.14872600000001</v>
      </c>
    </row>
    <row r="761" spans="1:17" ht="12.5" x14ac:dyDescent="0.25">
      <c r="A761" s="3">
        <v>46060</v>
      </c>
      <c r="B761" s="1" t="s">
        <v>16</v>
      </c>
      <c r="C761" s="1" t="s">
        <v>40</v>
      </c>
      <c r="D761" s="1" t="s">
        <v>41</v>
      </c>
      <c r="E761" s="1">
        <v>1.73</v>
      </c>
      <c r="F761" s="1">
        <v>1</v>
      </c>
      <c r="G761" s="1">
        <v>2</v>
      </c>
      <c r="H761" s="1">
        <v>1.73</v>
      </c>
      <c r="I761" s="1">
        <v>0.5</v>
      </c>
      <c r="J761" s="1">
        <v>865</v>
      </c>
      <c r="K761" s="1">
        <v>0</v>
      </c>
      <c r="L761" s="1">
        <v>0</v>
      </c>
      <c r="M761" s="1" t="s">
        <v>31</v>
      </c>
      <c r="N761" s="1" t="s">
        <v>31</v>
      </c>
      <c r="O761" s="1" t="s">
        <v>31</v>
      </c>
      <c r="P761" s="2">
        <f t="shared" si="22"/>
        <v>0</v>
      </c>
      <c r="Q761" s="2">
        <f t="shared" si="23"/>
        <v>0</v>
      </c>
    </row>
    <row r="762" spans="1:17" ht="12.5" x14ac:dyDescent="0.25">
      <c r="A762" s="3">
        <v>46119</v>
      </c>
      <c r="B762" s="1" t="s">
        <v>16</v>
      </c>
      <c r="C762" s="1" t="s">
        <v>40</v>
      </c>
      <c r="D762" s="1" t="s">
        <v>41</v>
      </c>
      <c r="E762" s="1">
        <v>1052.795208</v>
      </c>
      <c r="F762" s="1">
        <v>89</v>
      </c>
      <c r="G762" s="1">
        <v>214</v>
      </c>
      <c r="H762" s="1">
        <v>11.82916</v>
      </c>
      <c r="I762" s="1">
        <v>0.41588799999999998</v>
      </c>
      <c r="J762" s="1">
        <v>4919.6037759999999</v>
      </c>
      <c r="K762" s="1">
        <v>1</v>
      </c>
      <c r="L762" s="1">
        <v>14200</v>
      </c>
      <c r="M762" s="1" t="s">
        <v>31</v>
      </c>
      <c r="N762" s="1" t="s">
        <v>31</v>
      </c>
      <c r="O762" s="1" t="s">
        <v>31</v>
      </c>
      <c r="P762" s="2">
        <f t="shared" si="22"/>
        <v>7.0422535211267609E-5</v>
      </c>
      <c r="Q762" s="2">
        <f t="shared" si="23"/>
        <v>1052.795208</v>
      </c>
    </row>
    <row r="763" spans="1:17" ht="12.5" x14ac:dyDescent="0.25">
      <c r="A763" s="3">
        <v>46149</v>
      </c>
      <c r="B763" s="1" t="s">
        <v>16</v>
      </c>
      <c r="C763" s="1" t="s">
        <v>40</v>
      </c>
      <c r="D763" s="1" t="s">
        <v>41</v>
      </c>
      <c r="E763" s="1">
        <v>1613.4482620000001</v>
      </c>
      <c r="F763" s="1">
        <v>115</v>
      </c>
      <c r="G763" s="1">
        <v>533</v>
      </c>
      <c r="H763" s="1">
        <v>14.029985</v>
      </c>
      <c r="I763" s="1">
        <v>0.21576000000000001</v>
      </c>
      <c r="J763" s="1">
        <v>3027.1074330000001</v>
      </c>
      <c r="K763" s="1">
        <v>0</v>
      </c>
      <c r="L763" s="1">
        <v>0</v>
      </c>
      <c r="M763" s="1" t="s">
        <v>31</v>
      </c>
      <c r="N763" s="1" t="s">
        <v>31</v>
      </c>
      <c r="O763" s="1" t="s">
        <v>31</v>
      </c>
      <c r="P763" s="2">
        <f t="shared" si="22"/>
        <v>0</v>
      </c>
      <c r="Q763" s="2">
        <f t="shared" si="23"/>
        <v>0</v>
      </c>
    </row>
    <row r="764" spans="1:17" ht="12.5" x14ac:dyDescent="0.25">
      <c r="A764" s="3">
        <v>46180</v>
      </c>
      <c r="B764" s="1" t="s">
        <v>16</v>
      </c>
      <c r="C764" s="1" t="s">
        <v>40</v>
      </c>
      <c r="D764" s="1" t="s">
        <v>41</v>
      </c>
      <c r="E764" s="1">
        <v>842.86889399999995</v>
      </c>
      <c r="F764" s="1">
        <v>80</v>
      </c>
      <c r="G764" s="1">
        <v>415</v>
      </c>
      <c r="H764" s="1">
        <v>10.535861000000001</v>
      </c>
      <c r="I764" s="1">
        <v>0.192771</v>
      </c>
      <c r="J764" s="1">
        <v>2031.0093830000001</v>
      </c>
      <c r="K764" s="1">
        <v>0.4</v>
      </c>
      <c r="L764" s="1">
        <v>1320</v>
      </c>
      <c r="M764" s="1" t="s">
        <v>31</v>
      </c>
      <c r="N764" s="1" t="s">
        <v>31</v>
      </c>
      <c r="O764" s="1" t="s">
        <v>31</v>
      </c>
      <c r="P764" s="2">
        <f t="shared" si="22"/>
        <v>3.0303030303030303E-4</v>
      </c>
      <c r="Q764" s="2">
        <f t="shared" si="23"/>
        <v>2107.1722349999995</v>
      </c>
    </row>
    <row r="765" spans="1:17" ht="12.5" x14ac:dyDescent="0.25">
      <c r="A765" s="3">
        <v>46210</v>
      </c>
      <c r="B765" s="1" t="s">
        <v>16</v>
      </c>
      <c r="C765" s="1" t="s">
        <v>40</v>
      </c>
      <c r="D765" s="1" t="s">
        <v>41</v>
      </c>
      <c r="E765" s="1">
        <v>1136.338996</v>
      </c>
      <c r="F765" s="1">
        <v>91</v>
      </c>
      <c r="G765" s="1">
        <v>364</v>
      </c>
      <c r="H765" s="1">
        <v>12.487242</v>
      </c>
      <c r="I765" s="1">
        <v>0.25</v>
      </c>
      <c r="J765" s="1">
        <v>3121.8104290000001</v>
      </c>
      <c r="K765" s="1">
        <v>2</v>
      </c>
      <c r="L765" s="1">
        <v>24450</v>
      </c>
      <c r="M765" s="1" t="s">
        <v>31</v>
      </c>
      <c r="N765" s="1" t="s">
        <v>31</v>
      </c>
      <c r="O765" s="1" t="s">
        <v>31</v>
      </c>
      <c r="P765" s="2">
        <f t="shared" si="22"/>
        <v>8.1799591002044986E-5</v>
      </c>
      <c r="Q765" s="2">
        <f t="shared" si="23"/>
        <v>568.16949799999998</v>
      </c>
    </row>
    <row r="766" spans="1:17" ht="12.5" x14ac:dyDescent="0.25">
      <c r="A766" s="3">
        <v>46241</v>
      </c>
      <c r="B766" s="1" t="s">
        <v>16</v>
      </c>
      <c r="C766" s="1" t="s">
        <v>40</v>
      </c>
      <c r="D766" s="1" t="s">
        <v>41</v>
      </c>
      <c r="E766" s="1">
        <v>355.32216799999998</v>
      </c>
      <c r="F766" s="1">
        <v>56</v>
      </c>
      <c r="G766" s="1">
        <v>165</v>
      </c>
      <c r="H766" s="1">
        <v>6.3450389999999999</v>
      </c>
      <c r="I766" s="1">
        <v>0.33939399999999997</v>
      </c>
      <c r="J766" s="1">
        <v>2153.4676850000001</v>
      </c>
      <c r="K766" s="1">
        <v>0.2</v>
      </c>
      <c r="L766" s="1">
        <v>660</v>
      </c>
      <c r="M766" s="1" t="s">
        <v>31</v>
      </c>
      <c r="N766" s="1" t="s">
        <v>31</v>
      </c>
      <c r="O766" s="1" t="s">
        <v>31</v>
      </c>
      <c r="P766" s="2">
        <f t="shared" si="22"/>
        <v>3.0303030303030303E-4</v>
      </c>
      <c r="Q766" s="2">
        <f t="shared" si="23"/>
        <v>1776.6108399999998</v>
      </c>
    </row>
    <row r="767" spans="1:17" ht="12.5" x14ac:dyDescent="0.25">
      <c r="A767" s="3">
        <v>46272</v>
      </c>
      <c r="B767" s="1" t="s">
        <v>16</v>
      </c>
      <c r="C767" s="1" t="s">
        <v>40</v>
      </c>
      <c r="D767" s="1" t="s">
        <v>41</v>
      </c>
      <c r="E767" s="1">
        <v>593.98483499999998</v>
      </c>
      <c r="F767" s="1">
        <v>45</v>
      </c>
      <c r="G767" s="1">
        <v>217</v>
      </c>
      <c r="H767" s="1">
        <v>13.199662999999999</v>
      </c>
      <c r="I767" s="1">
        <v>0.207373</v>
      </c>
      <c r="J767" s="1">
        <v>2737.2573040000002</v>
      </c>
      <c r="K767" s="1">
        <v>0</v>
      </c>
      <c r="L767" s="1">
        <v>0</v>
      </c>
      <c r="M767" s="1" t="s">
        <v>31</v>
      </c>
      <c r="N767" s="1" t="s">
        <v>31</v>
      </c>
      <c r="O767" s="1" t="s">
        <v>31</v>
      </c>
      <c r="P767" s="2">
        <f t="shared" si="22"/>
        <v>0</v>
      </c>
      <c r="Q767" s="2">
        <f t="shared" si="23"/>
        <v>0</v>
      </c>
    </row>
    <row r="768" spans="1:17" ht="12.5" x14ac:dyDescent="0.25">
      <c r="A768" s="3">
        <v>46302</v>
      </c>
      <c r="B768" s="1" t="s">
        <v>16</v>
      </c>
      <c r="C768" s="1" t="s">
        <v>40</v>
      </c>
      <c r="D768" s="1" t="s">
        <v>41</v>
      </c>
      <c r="E768" s="1">
        <v>1194.785648</v>
      </c>
      <c r="F768" s="1">
        <v>66</v>
      </c>
      <c r="G768" s="1">
        <v>305</v>
      </c>
      <c r="H768" s="1">
        <v>18.102813000000001</v>
      </c>
      <c r="I768" s="1">
        <v>0.216393</v>
      </c>
      <c r="J768" s="1">
        <v>3917.3299929999998</v>
      </c>
      <c r="K768" s="1">
        <v>1</v>
      </c>
      <c r="L768" s="1">
        <v>2400</v>
      </c>
      <c r="M768" s="1" t="s">
        <v>31</v>
      </c>
      <c r="N768" s="1" t="s">
        <v>31</v>
      </c>
      <c r="O768" s="1" t="s">
        <v>31</v>
      </c>
      <c r="P768" s="2">
        <f t="shared" si="22"/>
        <v>4.1666666666666669E-4</v>
      </c>
      <c r="Q768" s="2">
        <f t="shared" si="23"/>
        <v>1194.785648</v>
      </c>
    </row>
    <row r="769" spans="1:17" ht="12.5" x14ac:dyDescent="0.25">
      <c r="A769" s="3">
        <v>46333</v>
      </c>
      <c r="B769" s="1" t="s">
        <v>16</v>
      </c>
      <c r="C769" s="1" t="s">
        <v>40</v>
      </c>
      <c r="D769" s="1" t="s">
        <v>41</v>
      </c>
      <c r="E769" s="1">
        <v>972.36740699999996</v>
      </c>
      <c r="F769" s="1">
        <v>71</v>
      </c>
      <c r="G769" s="1">
        <v>249</v>
      </c>
      <c r="H769" s="1">
        <v>13.695316</v>
      </c>
      <c r="I769" s="1">
        <v>0.28514099999999998</v>
      </c>
      <c r="J769" s="1">
        <v>3905.0899880000002</v>
      </c>
      <c r="K769" s="1">
        <v>0</v>
      </c>
      <c r="L769" s="1">
        <v>0</v>
      </c>
      <c r="M769" s="1" t="s">
        <v>31</v>
      </c>
      <c r="N769" s="1" t="s">
        <v>31</v>
      </c>
      <c r="O769" s="1" t="s">
        <v>31</v>
      </c>
      <c r="P769" s="2">
        <f t="shared" si="22"/>
        <v>0</v>
      </c>
      <c r="Q769" s="2">
        <f t="shared" si="23"/>
        <v>0</v>
      </c>
    </row>
    <row r="770" spans="1:17" ht="12.5" x14ac:dyDescent="0.25">
      <c r="A770" s="3">
        <v>46363</v>
      </c>
      <c r="B770" s="1" t="s">
        <v>16</v>
      </c>
      <c r="C770" s="1" t="s">
        <v>40</v>
      </c>
      <c r="D770" s="1" t="s">
        <v>41</v>
      </c>
      <c r="E770" s="1">
        <v>996.62238300000001</v>
      </c>
      <c r="F770" s="1">
        <v>78</v>
      </c>
      <c r="G770" s="1">
        <v>293</v>
      </c>
      <c r="H770" s="1">
        <v>12.77721</v>
      </c>
      <c r="I770" s="1">
        <v>0.266212</v>
      </c>
      <c r="J770" s="1">
        <v>3401.4415800000002</v>
      </c>
      <c r="K770" s="1">
        <v>0</v>
      </c>
      <c r="L770" s="1">
        <v>0</v>
      </c>
      <c r="M770" s="1" t="s">
        <v>31</v>
      </c>
      <c r="N770" s="1" t="s">
        <v>31</v>
      </c>
      <c r="O770" s="1" t="s">
        <v>31</v>
      </c>
      <c r="P770" s="2">
        <f t="shared" si="22"/>
        <v>0</v>
      </c>
      <c r="Q770" s="2">
        <f t="shared" si="23"/>
        <v>0</v>
      </c>
    </row>
    <row r="771" spans="1:17" ht="12.5" x14ac:dyDescent="0.25">
      <c r="A771" s="1" t="s">
        <v>137</v>
      </c>
      <c r="B771" s="1" t="s">
        <v>16</v>
      </c>
      <c r="C771" s="1" t="s">
        <v>40</v>
      </c>
      <c r="D771" s="1" t="s">
        <v>41</v>
      </c>
      <c r="E771" s="1">
        <v>815.22679600000004</v>
      </c>
      <c r="F771" s="1">
        <v>74</v>
      </c>
      <c r="G771" s="1">
        <v>237</v>
      </c>
      <c r="H771" s="1">
        <v>11.016578000000001</v>
      </c>
      <c r="I771" s="1">
        <v>0.31223600000000001</v>
      </c>
      <c r="J771" s="1">
        <v>3439.7755109999998</v>
      </c>
      <c r="K771" s="1">
        <v>3</v>
      </c>
      <c r="L771" s="1">
        <v>11631.92</v>
      </c>
      <c r="M771" s="1" t="s">
        <v>31</v>
      </c>
      <c r="N771" s="1" t="s">
        <v>31</v>
      </c>
      <c r="O771" s="1" t="s">
        <v>31</v>
      </c>
      <c r="P771" s="2">
        <f t="shared" ref="P771:P834" si="24">IFERROR(K771/ L771, 0)</f>
        <v>2.5791098975921429E-4</v>
      </c>
      <c r="Q771" s="2">
        <f t="shared" ref="Q771:Q834" si="25">IFERROR(E771/K771, 0)</f>
        <v>271.74226533333336</v>
      </c>
    </row>
    <row r="772" spans="1:17" ht="12.5" x14ac:dyDescent="0.25">
      <c r="A772" s="1" t="s">
        <v>138</v>
      </c>
      <c r="B772" s="1" t="s">
        <v>16</v>
      </c>
      <c r="C772" s="1" t="s">
        <v>40</v>
      </c>
      <c r="D772" s="1" t="s">
        <v>41</v>
      </c>
      <c r="E772" s="1">
        <v>561.56972099999996</v>
      </c>
      <c r="F772" s="1">
        <v>62</v>
      </c>
      <c r="G772" s="1">
        <v>137</v>
      </c>
      <c r="H772" s="1">
        <v>9.0575759999999992</v>
      </c>
      <c r="I772" s="1">
        <v>0.45255499999999999</v>
      </c>
      <c r="J772" s="1">
        <v>4099.0490579999996</v>
      </c>
      <c r="K772" s="1">
        <v>1</v>
      </c>
      <c r="L772" s="1">
        <v>13666</v>
      </c>
      <c r="M772" s="1" t="s">
        <v>31</v>
      </c>
      <c r="N772" s="1" t="s">
        <v>31</v>
      </c>
      <c r="O772" s="1" t="s">
        <v>31</v>
      </c>
      <c r="P772" s="2">
        <f t="shared" si="24"/>
        <v>7.3174301185423675E-5</v>
      </c>
      <c r="Q772" s="2">
        <f t="shared" si="25"/>
        <v>561.56972099999996</v>
      </c>
    </row>
    <row r="773" spans="1:17" ht="12.5" x14ac:dyDescent="0.25">
      <c r="A773" s="1" t="s">
        <v>122</v>
      </c>
      <c r="B773" s="1" t="s">
        <v>16</v>
      </c>
      <c r="C773" s="1" t="s">
        <v>40</v>
      </c>
      <c r="D773" s="1" t="s">
        <v>41</v>
      </c>
      <c r="E773" s="1">
        <v>644.01024099999995</v>
      </c>
      <c r="F773" s="1">
        <v>79</v>
      </c>
      <c r="G773" s="1">
        <v>199</v>
      </c>
      <c r="H773" s="1">
        <v>8.1520279999999996</v>
      </c>
      <c r="I773" s="1">
        <v>0.39698499999999998</v>
      </c>
      <c r="J773" s="1">
        <v>3236.2323670000001</v>
      </c>
      <c r="K773" s="1">
        <v>1</v>
      </c>
      <c r="L773" s="1">
        <v>3366</v>
      </c>
      <c r="M773" s="1" t="s">
        <v>31</v>
      </c>
      <c r="N773" s="1" t="s">
        <v>31</v>
      </c>
      <c r="O773" s="1" t="s">
        <v>31</v>
      </c>
      <c r="P773" s="2">
        <f t="shared" si="24"/>
        <v>2.9708853238265005E-4</v>
      </c>
      <c r="Q773" s="2">
        <f t="shared" si="25"/>
        <v>644.01024099999995</v>
      </c>
    </row>
    <row r="774" spans="1:17" ht="12.5" x14ac:dyDescent="0.25">
      <c r="A774" s="1" t="s">
        <v>123</v>
      </c>
      <c r="B774" s="1" t="s">
        <v>16</v>
      </c>
      <c r="C774" s="1" t="s">
        <v>40</v>
      </c>
      <c r="D774" s="1" t="s">
        <v>41</v>
      </c>
      <c r="E774" s="1">
        <v>265.17493300000001</v>
      </c>
      <c r="F774" s="1">
        <v>89</v>
      </c>
      <c r="G774" s="1">
        <v>155</v>
      </c>
      <c r="H774" s="1">
        <v>2.9794939999999999</v>
      </c>
      <c r="I774" s="1">
        <v>0.57419399999999998</v>
      </c>
      <c r="J774" s="1">
        <v>1710.8060190000001</v>
      </c>
      <c r="K774" s="1">
        <v>2</v>
      </c>
      <c r="L774" s="1">
        <v>13340</v>
      </c>
      <c r="M774" s="1" t="s">
        <v>31</v>
      </c>
      <c r="N774" s="1" t="s">
        <v>31</v>
      </c>
      <c r="O774" s="1" t="s">
        <v>31</v>
      </c>
      <c r="P774" s="2">
        <f t="shared" si="24"/>
        <v>1.4992503748125936E-4</v>
      </c>
      <c r="Q774" s="2">
        <f t="shared" si="25"/>
        <v>132.5874665</v>
      </c>
    </row>
    <row r="775" spans="1:17" ht="12.5" x14ac:dyDescent="0.25">
      <c r="A775" s="1" t="s">
        <v>124</v>
      </c>
      <c r="B775" s="1" t="s">
        <v>16</v>
      </c>
      <c r="C775" s="1" t="s">
        <v>40</v>
      </c>
      <c r="D775" s="1" t="s">
        <v>41</v>
      </c>
      <c r="E775" s="1">
        <v>471.044355</v>
      </c>
      <c r="F775" s="1">
        <v>79</v>
      </c>
      <c r="G775" s="1">
        <v>128</v>
      </c>
      <c r="H775" s="1">
        <v>5.9625870000000001</v>
      </c>
      <c r="I775" s="1">
        <v>0.61718799999999996</v>
      </c>
      <c r="J775" s="1">
        <v>3680.0340230000002</v>
      </c>
      <c r="K775" s="1">
        <v>0</v>
      </c>
      <c r="L775" s="1">
        <v>0</v>
      </c>
      <c r="M775" s="1" t="s">
        <v>31</v>
      </c>
      <c r="N775" s="1" t="s">
        <v>31</v>
      </c>
      <c r="O775" s="1" t="s">
        <v>31</v>
      </c>
      <c r="P775" s="2">
        <f t="shared" si="24"/>
        <v>0</v>
      </c>
      <c r="Q775" s="2">
        <f t="shared" si="25"/>
        <v>0</v>
      </c>
    </row>
    <row r="776" spans="1:17" ht="12.5" x14ac:dyDescent="0.25">
      <c r="A776" s="1" t="s">
        <v>125</v>
      </c>
      <c r="B776" s="1" t="s">
        <v>16</v>
      </c>
      <c r="C776" s="1" t="s">
        <v>40</v>
      </c>
      <c r="D776" s="1" t="s">
        <v>41</v>
      </c>
      <c r="E776" s="1">
        <v>264.579949</v>
      </c>
      <c r="F776" s="1">
        <v>79</v>
      </c>
      <c r="G776" s="1">
        <v>150</v>
      </c>
      <c r="H776" s="1">
        <v>3.349113</v>
      </c>
      <c r="I776" s="1">
        <v>0.526667</v>
      </c>
      <c r="J776" s="1">
        <v>1763.866327</v>
      </c>
      <c r="K776" s="1">
        <v>0</v>
      </c>
      <c r="L776" s="1">
        <v>0</v>
      </c>
      <c r="M776" s="1" t="s">
        <v>31</v>
      </c>
      <c r="N776" s="1" t="s">
        <v>31</v>
      </c>
      <c r="O776" s="1" t="s">
        <v>31</v>
      </c>
      <c r="P776" s="2">
        <f t="shared" si="24"/>
        <v>0</v>
      </c>
      <c r="Q776" s="2">
        <f t="shared" si="25"/>
        <v>0</v>
      </c>
    </row>
    <row r="777" spans="1:17" ht="12.5" x14ac:dyDescent="0.25">
      <c r="A777" s="1" t="s">
        <v>126</v>
      </c>
      <c r="B777" s="1" t="s">
        <v>16</v>
      </c>
      <c r="C777" s="1" t="s">
        <v>40</v>
      </c>
      <c r="D777" s="1" t="s">
        <v>41</v>
      </c>
      <c r="E777" s="1">
        <v>780.56824200000005</v>
      </c>
      <c r="F777" s="1">
        <v>51</v>
      </c>
      <c r="G777" s="1">
        <v>89</v>
      </c>
      <c r="H777" s="1">
        <v>15.305260000000001</v>
      </c>
      <c r="I777" s="1">
        <v>0.57303400000000004</v>
      </c>
      <c r="J777" s="1">
        <v>8770.4296849999992</v>
      </c>
      <c r="K777" s="1">
        <v>0</v>
      </c>
      <c r="L777" s="1">
        <v>0</v>
      </c>
      <c r="M777" s="1" t="s">
        <v>31</v>
      </c>
      <c r="N777" s="1" t="s">
        <v>31</v>
      </c>
      <c r="O777" s="1" t="s">
        <v>31</v>
      </c>
      <c r="P777" s="2">
        <f t="shared" si="24"/>
        <v>0</v>
      </c>
      <c r="Q777" s="2">
        <f t="shared" si="25"/>
        <v>0</v>
      </c>
    </row>
    <row r="778" spans="1:17" ht="12.5" x14ac:dyDescent="0.25">
      <c r="A778" s="1" t="s">
        <v>127</v>
      </c>
      <c r="B778" s="1" t="s">
        <v>16</v>
      </c>
      <c r="C778" s="1" t="s">
        <v>40</v>
      </c>
      <c r="D778" s="1" t="s">
        <v>41</v>
      </c>
      <c r="E778" s="1">
        <v>353.08576499999998</v>
      </c>
      <c r="F778" s="1">
        <v>49</v>
      </c>
      <c r="G778" s="1">
        <v>118</v>
      </c>
      <c r="H778" s="1">
        <v>7.205832</v>
      </c>
      <c r="I778" s="1">
        <v>0.41525400000000001</v>
      </c>
      <c r="J778" s="1">
        <v>2992.252246</v>
      </c>
      <c r="K778" s="1">
        <v>0</v>
      </c>
      <c r="L778" s="1">
        <v>0</v>
      </c>
      <c r="M778" s="1" t="s">
        <v>31</v>
      </c>
      <c r="N778" s="1" t="s">
        <v>31</v>
      </c>
      <c r="O778" s="1" t="s">
        <v>31</v>
      </c>
      <c r="P778" s="2">
        <f t="shared" si="24"/>
        <v>0</v>
      </c>
      <c r="Q778" s="2">
        <f t="shared" si="25"/>
        <v>0</v>
      </c>
    </row>
    <row r="779" spans="1:17" ht="12.5" x14ac:dyDescent="0.25">
      <c r="A779" s="1" t="s">
        <v>139</v>
      </c>
      <c r="B779" s="1" t="s">
        <v>16</v>
      </c>
      <c r="C779" s="1" t="s">
        <v>40</v>
      </c>
      <c r="D779" s="1" t="s">
        <v>41</v>
      </c>
      <c r="E779" s="1">
        <v>185.585702</v>
      </c>
      <c r="F779" s="1">
        <v>17</v>
      </c>
      <c r="G779" s="1">
        <v>29</v>
      </c>
      <c r="H779" s="1">
        <v>10.916805999999999</v>
      </c>
      <c r="I779" s="1">
        <v>0.58620700000000003</v>
      </c>
      <c r="J779" s="1">
        <v>6399.5069659999999</v>
      </c>
      <c r="K779" s="1">
        <v>0</v>
      </c>
      <c r="L779" s="1">
        <v>0</v>
      </c>
      <c r="M779" s="1" t="s">
        <v>31</v>
      </c>
      <c r="N779" s="1" t="s">
        <v>31</v>
      </c>
      <c r="O779" s="1" t="s">
        <v>31</v>
      </c>
      <c r="P779" s="2">
        <f t="shared" si="24"/>
        <v>0</v>
      </c>
      <c r="Q779" s="2">
        <f t="shared" si="25"/>
        <v>0</v>
      </c>
    </row>
    <row r="780" spans="1:17" ht="12.5" x14ac:dyDescent="0.25">
      <c r="A780" s="1" t="s">
        <v>128</v>
      </c>
      <c r="B780" s="1" t="s">
        <v>16</v>
      </c>
      <c r="C780" s="1" t="s">
        <v>40</v>
      </c>
      <c r="D780" s="1" t="s">
        <v>41</v>
      </c>
      <c r="E780" s="1">
        <v>329.240499</v>
      </c>
      <c r="F780" s="1">
        <v>64</v>
      </c>
      <c r="G780" s="1">
        <v>107</v>
      </c>
      <c r="H780" s="1">
        <v>5.1443830000000004</v>
      </c>
      <c r="I780" s="1">
        <v>0.59813099999999997</v>
      </c>
      <c r="J780" s="1">
        <v>3077.014009</v>
      </c>
      <c r="K780" s="1">
        <v>0</v>
      </c>
      <c r="L780" s="1">
        <v>0</v>
      </c>
      <c r="M780" s="1" t="s">
        <v>31</v>
      </c>
      <c r="N780" s="1" t="s">
        <v>31</v>
      </c>
      <c r="O780" s="1" t="s">
        <v>31</v>
      </c>
      <c r="P780" s="2">
        <f t="shared" si="24"/>
        <v>0</v>
      </c>
      <c r="Q780" s="2">
        <f t="shared" si="25"/>
        <v>0</v>
      </c>
    </row>
    <row r="781" spans="1:17" ht="12.5" x14ac:dyDescent="0.25">
      <c r="A781" s="1" t="s">
        <v>129</v>
      </c>
      <c r="B781" s="1" t="s">
        <v>16</v>
      </c>
      <c r="C781" s="1" t="s">
        <v>40</v>
      </c>
      <c r="D781" s="1" t="s">
        <v>41</v>
      </c>
      <c r="E781" s="1">
        <v>499.24848200000002</v>
      </c>
      <c r="F781" s="1">
        <v>49</v>
      </c>
      <c r="G781" s="1">
        <v>66</v>
      </c>
      <c r="H781" s="1">
        <v>10.188745000000001</v>
      </c>
      <c r="I781" s="1">
        <v>0.74242399999999997</v>
      </c>
      <c r="J781" s="1">
        <v>7564.3709390000004</v>
      </c>
      <c r="K781" s="1">
        <v>2.5</v>
      </c>
      <c r="L781" s="1">
        <v>20682.96</v>
      </c>
      <c r="M781" s="1" t="s">
        <v>31</v>
      </c>
      <c r="N781" s="1" t="s">
        <v>31</v>
      </c>
      <c r="O781" s="1" t="s">
        <v>31</v>
      </c>
      <c r="P781" s="2">
        <f t="shared" si="24"/>
        <v>1.2087244765739527E-4</v>
      </c>
      <c r="Q781" s="2">
        <f t="shared" si="25"/>
        <v>199.6993928</v>
      </c>
    </row>
    <row r="782" spans="1:17" ht="12.5" x14ac:dyDescent="0.25">
      <c r="A782" s="1" t="s">
        <v>130</v>
      </c>
      <c r="B782" s="1" t="s">
        <v>16</v>
      </c>
      <c r="C782" s="1" t="s">
        <v>40</v>
      </c>
      <c r="D782" s="1" t="s">
        <v>41</v>
      </c>
      <c r="E782" s="1">
        <v>886.72352100000001</v>
      </c>
      <c r="F782" s="1">
        <v>92</v>
      </c>
      <c r="G782" s="1">
        <v>151</v>
      </c>
      <c r="H782" s="1">
        <v>9.6382989999999999</v>
      </c>
      <c r="I782" s="1">
        <v>0.60927200000000004</v>
      </c>
      <c r="J782" s="1">
        <v>5872.3411990000004</v>
      </c>
      <c r="K782" s="1">
        <v>0</v>
      </c>
      <c r="L782" s="1">
        <v>0</v>
      </c>
      <c r="M782" s="1" t="s">
        <v>31</v>
      </c>
      <c r="N782" s="1" t="s">
        <v>31</v>
      </c>
      <c r="O782" s="1" t="s">
        <v>31</v>
      </c>
      <c r="P782" s="2">
        <f t="shared" si="24"/>
        <v>0</v>
      </c>
      <c r="Q782" s="2">
        <f t="shared" si="25"/>
        <v>0</v>
      </c>
    </row>
    <row r="783" spans="1:17" ht="12.5" x14ac:dyDescent="0.25">
      <c r="A783" s="1" t="s">
        <v>131</v>
      </c>
      <c r="B783" s="1" t="s">
        <v>16</v>
      </c>
      <c r="C783" s="1" t="s">
        <v>40</v>
      </c>
      <c r="D783" s="1" t="s">
        <v>41</v>
      </c>
      <c r="E783" s="1">
        <v>621.49078399999996</v>
      </c>
      <c r="F783" s="1">
        <v>60</v>
      </c>
      <c r="G783" s="1">
        <v>115</v>
      </c>
      <c r="H783" s="1">
        <v>10.358180000000001</v>
      </c>
      <c r="I783" s="1">
        <v>0.52173899999999995</v>
      </c>
      <c r="J783" s="1">
        <v>5404.2676869999996</v>
      </c>
      <c r="K783" s="1">
        <v>0.5</v>
      </c>
      <c r="L783" s="1">
        <v>3782.96</v>
      </c>
      <c r="M783" s="1" t="s">
        <v>31</v>
      </c>
      <c r="N783" s="1" t="s">
        <v>31</v>
      </c>
      <c r="O783" s="1" t="s">
        <v>31</v>
      </c>
      <c r="P783" s="2">
        <f t="shared" si="24"/>
        <v>1.3217163279548289E-4</v>
      </c>
      <c r="Q783" s="2">
        <f t="shared" si="25"/>
        <v>1242.9815679999999</v>
      </c>
    </row>
    <row r="784" spans="1:17" ht="12.5" x14ac:dyDescent="0.25">
      <c r="A784" s="1" t="s">
        <v>132</v>
      </c>
      <c r="B784" s="1" t="s">
        <v>16</v>
      </c>
      <c r="C784" s="1" t="s">
        <v>40</v>
      </c>
      <c r="D784" s="1" t="s">
        <v>41</v>
      </c>
      <c r="E784" s="1">
        <v>1830.6661509999999</v>
      </c>
      <c r="F784" s="1">
        <v>72</v>
      </c>
      <c r="G784" s="1">
        <v>119</v>
      </c>
      <c r="H784" s="1">
        <v>25.425919</v>
      </c>
      <c r="I784" s="1">
        <v>0.60504199999999997</v>
      </c>
      <c r="J784" s="1">
        <v>15383.749169999999</v>
      </c>
      <c r="K784" s="1">
        <v>1</v>
      </c>
      <c r="L784" s="1">
        <v>5200</v>
      </c>
      <c r="M784" s="1" t="s">
        <v>31</v>
      </c>
      <c r="N784" s="1" t="s">
        <v>31</v>
      </c>
      <c r="O784" s="1" t="s">
        <v>31</v>
      </c>
      <c r="P784" s="2">
        <f t="shared" si="24"/>
        <v>1.9230769230769231E-4</v>
      </c>
      <c r="Q784" s="2">
        <f t="shared" si="25"/>
        <v>1830.6661509999999</v>
      </c>
    </row>
    <row r="785" spans="1:17" ht="12.5" x14ac:dyDescent="0.25">
      <c r="A785" s="1" t="s">
        <v>133</v>
      </c>
      <c r="B785" s="1" t="s">
        <v>16</v>
      </c>
      <c r="C785" s="1" t="s">
        <v>40</v>
      </c>
      <c r="D785" s="1" t="s">
        <v>41</v>
      </c>
      <c r="E785" s="1">
        <v>364.998853</v>
      </c>
      <c r="F785" s="1">
        <v>37</v>
      </c>
      <c r="G785" s="1">
        <v>76</v>
      </c>
      <c r="H785" s="1">
        <v>9.8648340000000001</v>
      </c>
      <c r="I785" s="1">
        <v>0.486842</v>
      </c>
      <c r="J785" s="1">
        <v>4802.6164870000002</v>
      </c>
      <c r="K785" s="1">
        <v>0</v>
      </c>
      <c r="L785" s="1">
        <v>0</v>
      </c>
      <c r="M785" s="1" t="s">
        <v>31</v>
      </c>
      <c r="N785" s="1" t="s">
        <v>31</v>
      </c>
      <c r="O785" s="1" t="s">
        <v>31</v>
      </c>
      <c r="P785" s="2">
        <f t="shared" si="24"/>
        <v>0</v>
      </c>
      <c r="Q785" s="2">
        <f t="shared" si="25"/>
        <v>0</v>
      </c>
    </row>
    <row r="786" spans="1:17" ht="12.5" x14ac:dyDescent="0.25">
      <c r="A786" s="1" t="s">
        <v>134</v>
      </c>
      <c r="B786" s="1" t="s">
        <v>16</v>
      </c>
      <c r="C786" s="1" t="s">
        <v>40</v>
      </c>
      <c r="D786" s="1" t="s">
        <v>41</v>
      </c>
      <c r="E786" s="1">
        <v>316.49379299999998</v>
      </c>
      <c r="F786" s="1">
        <v>58</v>
      </c>
      <c r="G786" s="1">
        <v>91</v>
      </c>
      <c r="H786" s="1">
        <v>5.4567899999999998</v>
      </c>
      <c r="I786" s="1">
        <v>0.63736300000000001</v>
      </c>
      <c r="J786" s="1">
        <v>3477.9537690000002</v>
      </c>
      <c r="K786" s="1">
        <v>1</v>
      </c>
      <c r="L786" s="1">
        <v>3400</v>
      </c>
      <c r="M786" s="1" t="s">
        <v>31</v>
      </c>
      <c r="N786" s="1" t="s">
        <v>31</v>
      </c>
      <c r="O786" s="1" t="s">
        <v>31</v>
      </c>
      <c r="P786" s="2">
        <f t="shared" si="24"/>
        <v>2.941176470588235E-4</v>
      </c>
      <c r="Q786" s="2">
        <f t="shared" si="25"/>
        <v>316.49379299999998</v>
      </c>
    </row>
    <row r="787" spans="1:17" ht="12.5" x14ac:dyDescent="0.25">
      <c r="A787" s="1" t="s">
        <v>135</v>
      </c>
      <c r="B787" s="1" t="s">
        <v>16</v>
      </c>
      <c r="C787" s="1" t="s">
        <v>40</v>
      </c>
      <c r="D787" s="1" t="s">
        <v>41</v>
      </c>
      <c r="E787" s="1">
        <v>701.63128700000004</v>
      </c>
      <c r="F787" s="1">
        <v>92</v>
      </c>
      <c r="G787" s="1">
        <v>176</v>
      </c>
      <c r="H787" s="1">
        <v>7.6264269999999996</v>
      </c>
      <c r="I787" s="1">
        <v>0.52272700000000005</v>
      </c>
      <c r="J787" s="1">
        <v>3986.5414030000002</v>
      </c>
      <c r="K787" s="1">
        <v>1</v>
      </c>
      <c r="L787" s="1">
        <v>21850</v>
      </c>
      <c r="M787" s="1" t="s">
        <v>31</v>
      </c>
      <c r="N787" s="1" t="s">
        <v>31</v>
      </c>
      <c r="O787" s="1" t="s">
        <v>31</v>
      </c>
      <c r="P787" s="2">
        <f t="shared" si="24"/>
        <v>4.5766590389016018E-5</v>
      </c>
      <c r="Q787" s="2">
        <f t="shared" si="25"/>
        <v>701.63128700000004</v>
      </c>
    </row>
    <row r="788" spans="1:17" ht="12.5" x14ac:dyDescent="0.25">
      <c r="A788" s="1" t="s">
        <v>136</v>
      </c>
      <c r="B788" s="1" t="s">
        <v>16</v>
      </c>
      <c r="C788" s="1" t="s">
        <v>40</v>
      </c>
      <c r="D788" s="1" t="s">
        <v>41</v>
      </c>
      <c r="E788" s="1">
        <v>382.52317799999997</v>
      </c>
      <c r="F788" s="1">
        <v>46</v>
      </c>
      <c r="G788" s="1">
        <v>74</v>
      </c>
      <c r="H788" s="1">
        <v>8.3157209999999999</v>
      </c>
      <c r="I788" s="1">
        <v>0.62162200000000001</v>
      </c>
      <c r="J788" s="1">
        <v>5169.2321350000002</v>
      </c>
      <c r="K788" s="1">
        <v>0</v>
      </c>
      <c r="L788" s="1">
        <v>0</v>
      </c>
      <c r="M788" s="1" t="s">
        <v>31</v>
      </c>
      <c r="N788" s="1" t="s">
        <v>31</v>
      </c>
      <c r="O788" s="1" t="s">
        <v>31</v>
      </c>
      <c r="P788" s="2">
        <f t="shared" si="24"/>
        <v>0</v>
      </c>
      <c r="Q788" s="2">
        <f t="shared" si="25"/>
        <v>0</v>
      </c>
    </row>
    <row r="789" spans="1:17" ht="12.5" x14ac:dyDescent="0.25">
      <c r="A789" s="3">
        <v>46029</v>
      </c>
      <c r="B789" s="1" t="s">
        <v>16</v>
      </c>
      <c r="C789" s="1" t="s">
        <v>67</v>
      </c>
      <c r="D789" s="1" t="s">
        <v>41</v>
      </c>
      <c r="E789" s="1">
        <v>578.20867299999998</v>
      </c>
      <c r="F789" s="1">
        <v>58</v>
      </c>
      <c r="G789" s="1">
        <v>4182</v>
      </c>
      <c r="H789" s="1">
        <v>9.9691150000000004</v>
      </c>
      <c r="I789" s="1">
        <v>1.3868999999999999E-2</v>
      </c>
      <c r="J789" s="1">
        <v>138.26128</v>
      </c>
      <c r="K789" s="1">
        <v>0</v>
      </c>
      <c r="L789" s="1">
        <v>0</v>
      </c>
      <c r="M789" s="1" t="s">
        <v>31</v>
      </c>
      <c r="N789" s="1" t="s">
        <v>31</v>
      </c>
      <c r="O789" s="1" t="s">
        <v>31</v>
      </c>
      <c r="P789" s="2">
        <f t="shared" si="24"/>
        <v>0</v>
      </c>
      <c r="Q789" s="2">
        <f t="shared" si="25"/>
        <v>0</v>
      </c>
    </row>
    <row r="790" spans="1:17" ht="12.5" x14ac:dyDescent="0.25">
      <c r="A790" s="3">
        <v>46119</v>
      </c>
      <c r="B790" s="1" t="s">
        <v>16</v>
      </c>
      <c r="C790" s="1" t="s">
        <v>67</v>
      </c>
      <c r="D790" s="1" t="s">
        <v>41</v>
      </c>
      <c r="E790" s="1">
        <v>1400.090876</v>
      </c>
      <c r="F790" s="1">
        <v>62</v>
      </c>
      <c r="G790" s="1">
        <v>4124</v>
      </c>
      <c r="H790" s="1">
        <v>22.582111000000001</v>
      </c>
      <c r="I790" s="1">
        <v>1.5034E-2</v>
      </c>
      <c r="J790" s="1">
        <v>339.49827299999998</v>
      </c>
      <c r="K790" s="1">
        <v>0.16</v>
      </c>
      <c r="L790" s="1">
        <v>2404.41</v>
      </c>
      <c r="M790" s="1" t="s">
        <v>31</v>
      </c>
      <c r="N790" s="1" t="s">
        <v>31</v>
      </c>
      <c r="O790" s="1" t="s">
        <v>31</v>
      </c>
      <c r="P790" s="2">
        <f t="shared" si="24"/>
        <v>6.6544391347565524E-5</v>
      </c>
      <c r="Q790" s="2">
        <f t="shared" si="25"/>
        <v>8750.5679749999999</v>
      </c>
    </row>
    <row r="791" spans="1:17" ht="12.5" x14ac:dyDescent="0.25">
      <c r="A791" s="3">
        <v>46149</v>
      </c>
      <c r="B791" s="1" t="s">
        <v>16</v>
      </c>
      <c r="C791" s="1" t="s">
        <v>67</v>
      </c>
      <c r="D791" s="1" t="s">
        <v>41</v>
      </c>
      <c r="E791" s="1">
        <v>1183.2323899999999</v>
      </c>
      <c r="F791" s="1">
        <v>244</v>
      </c>
      <c r="G791" s="1">
        <v>10550</v>
      </c>
      <c r="H791" s="1">
        <v>4.8493130000000004</v>
      </c>
      <c r="I791" s="1">
        <v>2.3127999999999999E-2</v>
      </c>
      <c r="J791" s="1">
        <v>112.154729</v>
      </c>
      <c r="K791" s="1">
        <v>0</v>
      </c>
      <c r="L791" s="1">
        <v>0</v>
      </c>
      <c r="M791" s="1" t="s">
        <v>31</v>
      </c>
      <c r="N791" s="1" t="s">
        <v>31</v>
      </c>
      <c r="O791" s="1" t="s">
        <v>31</v>
      </c>
      <c r="P791" s="2">
        <f t="shared" si="24"/>
        <v>0</v>
      </c>
      <c r="Q791" s="2">
        <f t="shared" si="25"/>
        <v>0</v>
      </c>
    </row>
    <row r="792" spans="1:17" ht="12.5" x14ac:dyDescent="0.25">
      <c r="A792" s="3">
        <v>46180</v>
      </c>
      <c r="B792" s="1" t="s">
        <v>16</v>
      </c>
      <c r="C792" s="1" t="s">
        <v>67</v>
      </c>
      <c r="D792" s="1" t="s">
        <v>41</v>
      </c>
      <c r="E792" s="1">
        <v>791.08074499999998</v>
      </c>
      <c r="F792" s="1">
        <v>110</v>
      </c>
      <c r="G792" s="1">
        <v>5695</v>
      </c>
      <c r="H792" s="1">
        <v>7.191643</v>
      </c>
      <c r="I792" s="1">
        <v>1.9314999999999999E-2</v>
      </c>
      <c r="J792" s="1">
        <v>138.90794500000001</v>
      </c>
      <c r="K792" s="1">
        <v>0</v>
      </c>
      <c r="L792" s="1">
        <v>0</v>
      </c>
      <c r="M792" s="1" t="s">
        <v>31</v>
      </c>
      <c r="N792" s="1" t="s">
        <v>31</v>
      </c>
      <c r="O792" s="1" t="s">
        <v>31</v>
      </c>
      <c r="P792" s="2">
        <f t="shared" si="24"/>
        <v>0</v>
      </c>
      <c r="Q792" s="2">
        <f t="shared" si="25"/>
        <v>0</v>
      </c>
    </row>
    <row r="793" spans="1:17" ht="12.5" x14ac:dyDescent="0.25">
      <c r="A793" s="3">
        <v>46210</v>
      </c>
      <c r="B793" s="1" t="s">
        <v>16</v>
      </c>
      <c r="C793" s="1" t="s">
        <v>67</v>
      </c>
      <c r="D793" s="1" t="s">
        <v>41</v>
      </c>
      <c r="E793" s="1">
        <v>646.35622000000001</v>
      </c>
      <c r="F793" s="1">
        <v>137</v>
      </c>
      <c r="G793" s="1">
        <v>6293</v>
      </c>
      <c r="H793" s="1">
        <v>4.7179289999999998</v>
      </c>
      <c r="I793" s="1">
        <v>2.1770000000000001E-2</v>
      </c>
      <c r="J793" s="1">
        <v>102.710348</v>
      </c>
      <c r="K793" s="1">
        <v>1</v>
      </c>
      <c r="L793" s="1">
        <v>2000</v>
      </c>
      <c r="M793" s="1" t="s">
        <v>31</v>
      </c>
      <c r="N793" s="1" t="s">
        <v>31</v>
      </c>
      <c r="O793" s="1" t="s">
        <v>31</v>
      </c>
      <c r="P793" s="2">
        <f t="shared" si="24"/>
        <v>5.0000000000000001E-4</v>
      </c>
      <c r="Q793" s="2">
        <f t="shared" si="25"/>
        <v>646.35622000000001</v>
      </c>
    </row>
    <row r="794" spans="1:17" ht="12.5" x14ac:dyDescent="0.25">
      <c r="A794" s="3">
        <v>46241</v>
      </c>
      <c r="B794" s="1" t="s">
        <v>16</v>
      </c>
      <c r="C794" s="1" t="s">
        <v>67</v>
      </c>
      <c r="D794" s="1" t="s">
        <v>41</v>
      </c>
      <c r="E794" s="1">
        <v>766.15319899999997</v>
      </c>
      <c r="F794" s="1">
        <v>125</v>
      </c>
      <c r="G794" s="1">
        <v>4728</v>
      </c>
      <c r="H794" s="1">
        <v>6.1292260000000001</v>
      </c>
      <c r="I794" s="1">
        <v>2.6438E-2</v>
      </c>
      <c r="J794" s="1">
        <v>162.045939</v>
      </c>
      <c r="K794" s="1">
        <v>0</v>
      </c>
      <c r="L794" s="1">
        <v>0</v>
      </c>
      <c r="M794" s="1" t="s">
        <v>31</v>
      </c>
      <c r="N794" s="1" t="s">
        <v>31</v>
      </c>
      <c r="O794" s="1" t="s">
        <v>31</v>
      </c>
      <c r="P794" s="2">
        <f t="shared" si="24"/>
        <v>0</v>
      </c>
      <c r="Q794" s="2">
        <f t="shared" si="25"/>
        <v>0</v>
      </c>
    </row>
    <row r="795" spans="1:17" ht="12.5" x14ac:dyDescent="0.25">
      <c r="A795" s="3">
        <v>46272</v>
      </c>
      <c r="B795" s="1" t="s">
        <v>16</v>
      </c>
      <c r="C795" s="1" t="s">
        <v>67</v>
      </c>
      <c r="D795" s="1" t="s">
        <v>41</v>
      </c>
      <c r="E795" s="1">
        <v>628.73184600000002</v>
      </c>
      <c r="F795" s="1">
        <v>88</v>
      </c>
      <c r="G795" s="1">
        <v>4867</v>
      </c>
      <c r="H795" s="1">
        <v>7.1446800000000001</v>
      </c>
      <c r="I795" s="1">
        <v>1.8081E-2</v>
      </c>
      <c r="J795" s="1">
        <v>129.182627</v>
      </c>
      <c r="K795" s="1">
        <v>0.99</v>
      </c>
      <c r="L795" s="1">
        <v>2968.7939999999999</v>
      </c>
      <c r="M795" s="1" t="s">
        <v>31</v>
      </c>
      <c r="N795" s="1" t="s">
        <v>31</v>
      </c>
      <c r="O795" s="1" t="s">
        <v>31</v>
      </c>
      <c r="P795" s="2">
        <f t="shared" si="24"/>
        <v>3.3346874185275236E-4</v>
      </c>
      <c r="Q795" s="2">
        <f t="shared" si="25"/>
        <v>635.08267272727278</v>
      </c>
    </row>
    <row r="796" spans="1:17" ht="12.5" x14ac:dyDescent="0.25">
      <c r="A796" s="3">
        <v>46302</v>
      </c>
      <c r="B796" s="1" t="s">
        <v>16</v>
      </c>
      <c r="C796" s="1" t="s">
        <v>67</v>
      </c>
      <c r="D796" s="1" t="s">
        <v>41</v>
      </c>
      <c r="E796" s="1">
        <v>696.251802</v>
      </c>
      <c r="F796" s="1">
        <v>110</v>
      </c>
      <c r="G796" s="1">
        <v>5292</v>
      </c>
      <c r="H796" s="1">
        <v>6.3295620000000001</v>
      </c>
      <c r="I796" s="1">
        <v>2.0785999999999999E-2</v>
      </c>
      <c r="J796" s="1">
        <v>131.566856</v>
      </c>
      <c r="K796" s="1">
        <v>0</v>
      </c>
      <c r="L796" s="1">
        <v>0</v>
      </c>
      <c r="M796" s="1" t="s">
        <v>31</v>
      </c>
      <c r="N796" s="1" t="s">
        <v>31</v>
      </c>
      <c r="O796" s="1" t="s">
        <v>31</v>
      </c>
      <c r="P796" s="2">
        <f t="shared" si="24"/>
        <v>0</v>
      </c>
      <c r="Q796" s="2">
        <f t="shared" si="25"/>
        <v>0</v>
      </c>
    </row>
    <row r="797" spans="1:17" ht="12.5" x14ac:dyDescent="0.25">
      <c r="A797" s="3">
        <v>46333</v>
      </c>
      <c r="B797" s="1" t="s">
        <v>16</v>
      </c>
      <c r="C797" s="1" t="s">
        <v>67</v>
      </c>
      <c r="D797" s="1" t="s">
        <v>41</v>
      </c>
      <c r="E797" s="1">
        <v>1064.4317249999999</v>
      </c>
      <c r="F797" s="1">
        <v>204</v>
      </c>
      <c r="G797" s="1">
        <v>8465</v>
      </c>
      <c r="H797" s="1">
        <v>5.217803</v>
      </c>
      <c r="I797" s="1">
        <v>2.4098999999999999E-2</v>
      </c>
      <c r="J797" s="1">
        <v>125.745035</v>
      </c>
      <c r="K797" s="1">
        <v>0</v>
      </c>
      <c r="L797" s="1">
        <v>0</v>
      </c>
      <c r="M797" s="1" t="s">
        <v>31</v>
      </c>
      <c r="N797" s="1" t="s">
        <v>31</v>
      </c>
      <c r="O797" s="1" t="s">
        <v>31</v>
      </c>
      <c r="P797" s="2">
        <f t="shared" si="24"/>
        <v>0</v>
      </c>
      <c r="Q797" s="2">
        <f t="shared" si="25"/>
        <v>0</v>
      </c>
    </row>
    <row r="798" spans="1:17" ht="12.5" x14ac:dyDescent="0.25">
      <c r="A798" s="3">
        <v>46363</v>
      </c>
      <c r="B798" s="1" t="s">
        <v>16</v>
      </c>
      <c r="C798" s="1" t="s">
        <v>67</v>
      </c>
      <c r="D798" s="1" t="s">
        <v>41</v>
      </c>
      <c r="E798" s="1">
        <v>730.94260599999996</v>
      </c>
      <c r="F798" s="1">
        <v>68</v>
      </c>
      <c r="G798" s="1">
        <v>3238</v>
      </c>
      <c r="H798" s="1">
        <v>10.749155999999999</v>
      </c>
      <c r="I798" s="1">
        <v>2.1000999999999999E-2</v>
      </c>
      <c r="J798" s="1">
        <v>225.73891499999999</v>
      </c>
      <c r="K798" s="1">
        <v>1</v>
      </c>
      <c r="L798" s="1">
        <v>6261.75</v>
      </c>
      <c r="M798" s="1" t="s">
        <v>31</v>
      </c>
      <c r="N798" s="1" t="s">
        <v>31</v>
      </c>
      <c r="O798" s="1" t="s">
        <v>31</v>
      </c>
      <c r="P798" s="2">
        <f t="shared" si="24"/>
        <v>1.5969976444284745E-4</v>
      </c>
      <c r="Q798" s="2">
        <f t="shared" si="25"/>
        <v>730.94260599999996</v>
      </c>
    </row>
    <row r="799" spans="1:17" ht="12.5" x14ac:dyDescent="0.25">
      <c r="A799" s="1" t="s">
        <v>137</v>
      </c>
      <c r="B799" s="1" t="s">
        <v>16</v>
      </c>
      <c r="C799" s="1" t="s">
        <v>67</v>
      </c>
      <c r="D799" s="1" t="s">
        <v>41</v>
      </c>
      <c r="E799" s="1">
        <v>1455.899445</v>
      </c>
      <c r="F799" s="1">
        <v>18</v>
      </c>
      <c r="G799" s="1">
        <v>951</v>
      </c>
      <c r="H799" s="1">
        <v>80.883302999999998</v>
      </c>
      <c r="I799" s="1">
        <v>1.8926999999999999E-2</v>
      </c>
      <c r="J799" s="1">
        <v>1530.9142429999999</v>
      </c>
      <c r="K799" s="1">
        <v>0</v>
      </c>
      <c r="L799" s="1">
        <v>0</v>
      </c>
      <c r="M799" s="1" t="s">
        <v>31</v>
      </c>
      <c r="N799" s="1" t="s">
        <v>31</v>
      </c>
      <c r="O799" s="1" t="s">
        <v>31</v>
      </c>
      <c r="P799" s="2">
        <f t="shared" si="24"/>
        <v>0</v>
      </c>
      <c r="Q799" s="2">
        <f t="shared" si="25"/>
        <v>0</v>
      </c>
    </row>
    <row r="800" spans="1:17" ht="12.5" x14ac:dyDescent="0.25">
      <c r="A800" s="1" t="s">
        <v>138</v>
      </c>
      <c r="B800" s="1" t="s">
        <v>16</v>
      </c>
      <c r="C800" s="1" t="s">
        <v>67</v>
      </c>
      <c r="D800" s="1" t="s">
        <v>41</v>
      </c>
      <c r="E800" s="1">
        <v>133.76101199999999</v>
      </c>
      <c r="F800" s="1">
        <v>40</v>
      </c>
      <c r="G800" s="1">
        <v>1813</v>
      </c>
      <c r="H800" s="1">
        <v>3.3440249999999998</v>
      </c>
      <c r="I800" s="1">
        <v>2.2062999999999999E-2</v>
      </c>
      <c r="J800" s="1">
        <v>73.778825999999995</v>
      </c>
      <c r="K800" s="1">
        <v>0</v>
      </c>
      <c r="L800" s="1">
        <v>0</v>
      </c>
      <c r="M800" s="1" t="s">
        <v>31</v>
      </c>
      <c r="N800" s="1" t="s">
        <v>31</v>
      </c>
      <c r="O800" s="1" t="s">
        <v>31</v>
      </c>
      <c r="P800" s="2">
        <f t="shared" si="24"/>
        <v>0</v>
      </c>
      <c r="Q800" s="2">
        <f t="shared" si="25"/>
        <v>0</v>
      </c>
    </row>
    <row r="801" spans="1:17" ht="12.5" x14ac:dyDescent="0.25">
      <c r="A801" s="1" t="s">
        <v>122</v>
      </c>
      <c r="B801" s="1" t="s">
        <v>16</v>
      </c>
      <c r="C801" s="1" t="s">
        <v>67</v>
      </c>
      <c r="D801" s="1" t="s">
        <v>41</v>
      </c>
      <c r="E801" s="1">
        <v>776.05421999999999</v>
      </c>
      <c r="F801" s="1">
        <v>86</v>
      </c>
      <c r="G801" s="1">
        <v>5334</v>
      </c>
      <c r="H801" s="1">
        <v>9.0238859999999992</v>
      </c>
      <c r="I801" s="1">
        <v>1.6122999999999998E-2</v>
      </c>
      <c r="J801" s="1">
        <v>145.49198000000001</v>
      </c>
      <c r="K801" s="1">
        <v>0.04</v>
      </c>
      <c r="L801" s="1">
        <v>392.86582499999997</v>
      </c>
      <c r="M801" s="1" t="s">
        <v>31</v>
      </c>
      <c r="N801" s="1" t="s">
        <v>31</v>
      </c>
      <c r="O801" s="1" t="s">
        <v>31</v>
      </c>
      <c r="P801" s="2">
        <f t="shared" si="24"/>
        <v>1.0181593168609157E-4</v>
      </c>
      <c r="Q801" s="2">
        <f t="shared" si="25"/>
        <v>19401.355499999998</v>
      </c>
    </row>
    <row r="802" spans="1:17" ht="12.5" x14ac:dyDescent="0.25">
      <c r="A802" s="1" t="s">
        <v>123</v>
      </c>
      <c r="B802" s="1" t="s">
        <v>16</v>
      </c>
      <c r="C802" s="1" t="s">
        <v>67</v>
      </c>
      <c r="D802" s="1" t="s">
        <v>41</v>
      </c>
      <c r="E802" s="1">
        <v>608.25821699999995</v>
      </c>
      <c r="F802" s="1">
        <v>67</v>
      </c>
      <c r="G802" s="1">
        <v>2651</v>
      </c>
      <c r="H802" s="1">
        <v>9.078481</v>
      </c>
      <c r="I802" s="1">
        <v>2.5273E-2</v>
      </c>
      <c r="J802" s="1">
        <v>229.44481999999999</v>
      </c>
      <c r="K802" s="1">
        <v>0</v>
      </c>
      <c r="L802" s="1">
        <v>0</v>
      </c>
      <c r="M802" s="1" t="s">
        <v>31</v>
      </c>
      <c r="N802" s="1" t="s">
        <v>31</v>
      </c>
      <c r="O802" s="1" t="s">
        <v>31</v>
      </c>
      <c r="P802" s="2">
        <f t="shared" si="24"/>
        <v>0</v>
      </c>
      <c r="Q802" s="2">
        <f t="shared" si="25"/>
        <v>0</v>
      </c>
    </row>
    <row r="803" spans="1:17" ht="12.5" x14ac:dyDescent="0.25">
      <c r="A803" s="1" t="s">
        <v>124</v>
      </c>
      <c r="B803" s="1" t="s">
        <v>16</v>
      </c>
      <c r="C803" s="1" t="s">
        <v>67</v>
      </c>
      <c r="D803" s="1" t="s">
        <v>41</v>
      </c>
      <c r="E803" s="1">
        <v>348.70881700000001</v>
      </c>
      <c r="F803" s="1">
        <v>54</v>
      </c>
      <c r="G803" s="1">
        <v>2578</v>
      </c>
      <c r="H803" s="1">
        <v>6.4575709999999997</v>
      </c>
      <c r="I803" s="1">
        <v>2.0945999999999999E-2</v>
      </c>
      <c r="J803" s="1">
        <v>135.26331099999999</v>
      </c>
      <c r="K803" s="1">
        <v>0</v>
      </c>
      <c r="L803" s="1">
        <v>0</v>
      </c>
      <c r="M803" s="1" t="s">
        <v>31</v>
      </c>
      <c r="N803" s="1" t="s">
        <v>31</v>
      </c>
      <c r="O803" s="1" t="s">
        <v>31</v>
      </c>
      <c r="P803" s="2">
        <f t="shared" si="24"/>
        <v>0</v>
      </c>
      <c r="Q803" s="2">
        <f t="shared" si="25"/>
        <v>0</v>
      </c>
    </row>
    <row r="804" spans="1:17" ht="12.5" x14ac:dyDescent="0.25">
      <c r="A804" s="1" t="s">
        <v>125</v>
      </c>
      <c r="B804" s="1" t="s">
        <v>16</v>
      </c>
      <c r="C804" s="1" t="s">
        <v>67</v>
      </c>
      <c r="D804" s="1" t="s">
        <v>41</v>
      </c>
      <c r="E804" s="1">
        <v>580.53152299999999</v>
      </c>
      <c r="F804" s="1">
        <v>70</v>
      </c>
      <c r="G804" s="1">
        <v>3443</v>
      </c>
      <c r="H804" s="1">
        <v>8.2933070000000004</v>
      </c>
      <c r="I804" s="1">
        <v>2.0330999999999998E-2</v>
      </c>
      <c r="J804" s="1">
        <v>168.61211800000001</v>
      </c>
      <c r="K804" s="1">
        <v>0</v>
      </c>
      <c r="L804" s="1">
        <v>12.7188</v>
      </c>
      <c r="M804" s="1" t="s">
        <v>31</v>
      </c>
      <c r="N804" s="1" t="s">
        <v>31</v>
      </c>
      <c r="O804" s="1" t="s">
        <v>31</v>
      </c>
      <c r="P804" s="2">
        <f t="shared" si="24"/>
        <v>0</v>
      </c>
      <c r="Q804" s="2">
        <f t="shared" si="25"/>
        <v>0</v>
      </c>
    </row>
    <row r="805" spans="1:17" ht="12.5" x14ac:dyDescent="0.25">
      <c r="A805" s="1" t="s">
        <v>126</v>
      </c>
      <c r="B805" s="1" t="s">
        <v>16</v>
      </c>
      <c r="C805" s="1" t="s">
        <v>67</v>
      </c>
      <c r="D805" s="1" t="s">
        <v>41</v>
      </c>
      <c r="E805" s="1">
        <v>560.37495899999999</v>
      </c>
      <c r="F805" s="1">
        <v>95</v>
      </c>
      <c r="G805" s="1">
        <v>4094</v>
      </c>
      <c r="H805" s="1">
        <v>5.8986840000000003</v>
      </c>
      <c r="I805" s="1">
        <v>2.3205E-2</v>
      </c>
      <c r="J805" s="1">
        <v>136.877127</v>
      </c>
      <c r="K805" s="1">
        <v>0.64</v>
      </c>
      <c r="L805" s="1">
        <v>5803.1811749999997</v>
      </c>
      <c r="M805" s="1" t="s">
        <v>31</v>
      </c>
      <c r="N805" s="1" t="s">
        <v>31</v>
      </c>
      <c r="O805" s="1" t="s">
        <v>31</v>
      </c>
      <c r="P805" s="2">
        <f t="shared" si="24"/>
        <v>1.1028433900308136E-4</v>
      </c>
      <c r="Q805" s="2">
        <f t="shared" si="25"/>
        <v>875.58587343749991</v>
      </c>
    </row>
    <row r="806" spans="1:17" ht="12.5" x14ac:dyDescent="0.25">
      <c r="A806" s="1" t="s">
        <v>127</v>
      </c>
      <c r="B806" s="1" t="s">
        <v>16</v>
      </c>
      <c r="C806" s="1" t="s">
        <v>67</v>
      </c>
      <c r="D806" s="1" t="s">
        <v>41</v>
      </c>
      <c r="E806" s="1">
        <v>336.46567199999998</v>
      </c>
      <c r="F806" s="1">
        <v>70</v>
      </c>
      <c r="G806" s="1">
        <v>3497</v>
      </c>
      <c r="H806" s="1">
        <v>4.8066519999999997</v>
      </c>
      <c r="I806" s="1">
        <v>2.0017E-2</v>
      </c>
      <c r="J806" s="1">
        <v>96.215519999999998</v>
      </c>
      <c r="K806" s="1">
        <v>1</v>
      </c>
      <c r="L806" s="1">
        <v>3587.2811999999999</v>
      </c>
      <c r="M806" s="1" t="s">
        <v>31</v>
      </c>
      <c r="N806" s="1" t="s">
        <v>31</v>
      </c>
      <c r="O806" s="1" t="s">
        <v>31</v>
      </c>
      <c r="P806" s="2">
        <f t="shared" si="24"/>
        <v>2.7876264620682649E-4</v>
      </c>
      <c r="Q806" s="2">
        <f t="shared" si="25"/>
        <v>336.46567199999998</v>
      </c>
    </row>
    <row r="807" spans="1:17" ht="12.5" x14ac:dyDescent="0.25">
      <c r="A807" s="1" t="s">
        <v>139</v>
      </c>
      <c r="B807" s="1" t="s">
        <v>16</v>
      </c>
      <c r="C807" s="1" t="s">
        <v>67</v>
      </c>
      <c r="D807" s="1" t="s">
        <v>41</v>
      </c>
      <c r="E807" s="1">
        <v>89.989331000000007</v>
      </c>
      <c r="F807" s="1">
        <v>40</v>
      </c>
      <c r="G807" s="1">
        <v>1580</v>
      </c>
      <c r="H807" s="1">
        <v>2.249733</v>
      </c>
      <c r="I807" s="1">
        <v>2.5316000000000002E-2</v>
      </c>
      <c r="J807" s="1">
        <v>56.955272999999998</v>
      </c>
      <c r="K807" s="1">
        <v>0</v>
      </c>
      <c r="L807" s="1">
        <v>0</v>
      </c>
      <c r="M807" s="1" t="s">
        <v>31</v>
      </c>
      <c r="N807" s="1" t="s">
        <v>31</v>
      </c>
      <c r="O807" s="1" t="s">
        <v>31</v>
      </c>
      <c r="P807" s="2">
        <f t="shared" si="24"/>
        <v>0</v>
      </c>
      <c r="Q807" s="2">
        <f t="shared" si="25"/>
        <v>0</v>
      </c>
    </row>
    <row r="808" spans="1:17" ht="12.5" x14ac:dyDescent="0.25">
      <c r="A808" s="1" t="s">
        <v>128</v>
      </c>
      <c r="B808" s="1" t="s">
        <v>16</v>
      </c>
      <c r="C808" s="1" t="s">
        <v>67</v>
      </c>
      <c r="D808" s="1" t="s">
        <v>41</v>
      </c>
      <c r="E808" s="1">
        <v>951.43274399999996</v>
      </c>
      <c r="F808" s="1">
        <v>199</v>
      </c>
      <c r="G808" s="1">
        <v>7891</v>
      </c>
      <c r="H808" s="1">
        <v>4.7810689999999996</v>
      </c>
      <c r="I808" s="1">
        <v>2.5218999999999998E-2</v>
      </c>
      <c r="J808" s="1">
        <v>120.57188499999999</v>
      </c>
      <c r="K808" s="1">
        <v>0</v>
      </c>
      <c r="L808" s="1">
        <v>0</v>
      </c>
      <c r="M808" s="1" t="s">
        <v>31</v>
      </c>
      <c r="N808" s="1" t="s">
        <v>31</v>
      </c>
      <c r="O808" s="1" t="s">
        <v>31</v>
      </c>
      <c r="P808" s="2">
        <f t="shared" si="24"/>
        <v>0</v>
      </c>
      <c r="Q808" s="2">
        <f t="shared" si="25"/>
        <v>0</v>
      </c>
    </row>
    <row r="809" spans="1:17" ht="12.5" x14ac:dyDescent="0.25">
      <c r="A809" s="1" t="s">
        <v>129</v>
      </c>
      <c r="B809" s="1" t="s">
        <v>16</v>
      </c>
      <c r="C809" s="1" t="s">
        <v>67</v>
      </c>
      <c r="D809" s="1" t="s">
        <v>41</v>
      </c>
      <c r="E809" s="1">
        <v>664.99022300000001</v>
      </c>
      <c r="F809" s="1">
        <v>152</v>
      </c>
      <c r="G809" s="1">
        <v>6334</v>
      </c>
      <c r="H809" s="1">
        <v>4.3749359999999999</v>
      </c>
      <c r="I809" s="1">
        <v>2.3997000000000001E-2</v>
      </c>
      <c r="J809" s="1">
        <v>104.987405</v>
      </c>
      <c r="K809" s="1">
        <v>0</v>
      </c>
      <c r="L809" s="1">
        <v>0</v>
      </c>
      <c r="M809" s="1" t="s">
        <v>31</v>
      </c>
      <c r="N809" s="1" t="s">
        <v>31</v>
      </c>
      <c r="O809" s="1" t="s">
        <v>31</v>
      </c>
      <c r="P809" s="2">
        <f t="shared" si="24"/>
        <v>0</v>
      </c>
      <c r="Q809" s="2">
        <f t="shared" si="25"/>
        <v>0</v>
      </c>
    </row>
    <row r="810" spans="1:17" ht="12.5" x14ac:dyDescent="0.25">
      <c r="A810" s="1" t="s">
        <v>130</v>
      </c>
      <c r="B810" s="1" t="s">
        <v>16</v>
      </c>
      <c r="C810" s="1" t="s">
        <v>67</v>
      </c>
      <c r="D810" s="1" t="s">
        <v>41</v>
      </c>
      <c r="E810" s="1">
        <v>570.20240699999999</v>
      </c>
      <c r="F810" s="1">
        <v>86</v>
      </c>
      <c r="G810" s="1">
        <v>4128</v>
      </c>
      <c r="H810" s="1">
        <v>6.630261</v>
      </c>
      <c r="I810" s="1">
        <v>2.0833000000000001E-2</v>
      </c>
      <c r="J810" s="1">
        <v>138.13042799999999</v>
      </c>
      <c r="K810" s="1">
        <v>0</v>
      </c>
      <c r="L810" s="1">
        <v>0</v>
      </c>
      <c r="M810" s="1" t="s">
        <v>31</v>
      </c>
      <c r="N810" s="1" t="s">
        <v>31</v>
      </c>
      <c r="O810" s="1" t="s">
        <v>31</v>
      </c>
      <c r="P810" s="2">
        <f t="shared" si="24"/>
        <v>0</v>
      </c>
      <c r="Q810" s="2">
        <f t="shared" si="25"/>
        <v>0</v>
      </c>
    </row>
    <row r="811" spans="1:17" ht="12.5" x14ac:dyDescent="0.25">
      <c r="A811" s="1" t="s">
        <v>131</v>
      </c>
      <c r="B811" s="1" t="s">
        <v>16</v>
      </c>
      <c r="C811" s="1" t="s">
        <v>67</v>
      </c>
      <c r="D811" s="1" t="s">
        <v>41</v>
      </c>
      <c r="E811" s="1">
        <v>519.66368599999998</v>
      </c>
      <c r="F811" s="1">
        <v>51</v>
      </c>
      <c r="G811" s="1">
        <v>3029</v>
      </c>
      <c r="H811" s="1">
        <v>10.189484</v>
      </c>
      <c r="I811" s="1">
        <v>1.6837000000000001E-2</v>
      </c>
      <c r="J811" s="1">
        <v>171.56278800000001</v>
      </c>
      <c r="K811" s="1">
        <v>0</v>
      </c>
      <c r="L811" s="1">
        <v>0</v>
      </c>
      <c r="M811" s="1" t="s">
        <v>31</v>
      </c>
      <c r="N811" s="1" t="s">
        <v>31</v>
      </c>
      <c r="O811" s="1" t="s">
        <v>31</v>
      </c>
      <c r="P811" s="2">
        <f t="shared" si="24"/>
        <v>0</v>
      </c>
      <c r="Q811" s="2">
        <f t="shared" si="25"/>
        <v>0</v>
      </c>
    </row>
    <row r="812" spans="1:17" ht="12.5" x14ac:dyDescent="0.25">
      <c r="A812" s="1" t="s">
        <v>132</v>
      </c>
      <c r="B812" s="1" t="s">
        <v>16</v>
      </c>
      <c r="C812" s="1" t="s">
        <v>67</v>
      </c>
      <c r="D812" s="1" t="s">
        <v>41</v>
      </c>
      <c r="E812" s="1">
        <v>337.79773399999999</v>
      </c>
      <c r="F812" s="1">
        <v>84</v>
      </c>
      <c r="G812" s="1">
        <v>3813</v>
      </c>
      <c r="H812" s="1">
        <v>4.0214020000000001</v>
      </c>
      <c r="I812" s="1">
        <v>2.2030000000000001E-2</v>
      </c>
      <c r="J812" s="1">
        <v>88.591065999999998</v>
      </c>
      <c r="K812" s="1">
        <v>0.1</v>
      </c>
      <c r="L812" s="1">
        <v>357.26823000000002</v>
      </c>
      <c r="M812" s="1" t="s">
        <v>31</v>
      </c>
      <c r="N812" s="1" t="s">
        <v>31</v>
      </c>
      <c r="O812" s="1" t="s">
        <v>31</v>
      </c>
      <c r="P812" s="2">
        <f t="shared" si="24"/>
        <v>2.7990174217282069E-4</v>
      </c>
      <c r="Q812" s="2">
        <f t="shared" si="25"/>
        <v>3377.9773399999999</v>
      </c>
    </row>
    <row r="813" spans="1:17" ht="12.5" x14ac:dyDescent="0.25">
      <c r="A813" s="1" t="s">
        <v>133</v>
      </c>
      <c r="B813" s="1" t="s">
        <v>16</v>
      </c>
      <c r="C813" s="1" t="s">
        <v>67</v>
      </c>
      <c r="D813" s="1" t="s">
        <v>41</v>
      </c>
      <c r="E813" s="1">
        <v>567.587492</v>
      </c>
      <c r="F813" s="1">
        <v>145</v>
      </c>
      <c r="G813" s="1">
        <v>4924</v>
      </c>
      <c r="H813" s="1">
        <v>3.914396</v>
      </c>
      <c r="I813" s="1">
        <v>2.9447999999999998E-2</v>
      </c>
      <c r="J813" s="1">
        <v>115.26959600000001</v>
      </c>
      <c r="K813" s="1">
        <v>0</v>
      </c>
      <c r="L813" s="1">
        <v>0</v>
      </c>
      <c r="M813" s="1" t="s">
        <v>31</v>
      </c>
      <c r="N813" s="1" t="s">
        <v>31</v>
      </c>
      <c r="O813" s="1" t="s">
        <v>31</v>
      </c>
      <c r="P813" s="2">
        <f t="shared" si="24"/>
        <v>0</v>
      </c>
      <c r="Q813" s="2">
        <f t="shared" si="25"/>
        <v>0</v>
      </c>
    </row>
    <row r="814" spans="1:17" ht="12.5" x14ac:dyDescent="0.25">
      <c r="A814" s="1" t="s">
        <v>134</v>
      </c>
      <c r="B814" s="1" t="s">
        <v>16</v>
      </c>
      <c r="C814" s="1" t="s">
        <v>67</v>
      </c>
      <c r="D814" s="1" t="s">
        <v>41</v>
      </c>
      <c r="E814" s="1">
        <v>502.157692</v>
      </c>
      <c r="F814" s="1">
        <v>131</v>
      </c>
      <c r="G814" s="1">
        <v>4212</v>
      </c>
      <c r="H814" s="1">
        <v>3.8332649999999999</v>
      </c>
      <c r="I814" s="1">
        <v>3.1102000000000001E-2</v>
      </c>
      <c r="J814" s="1">
        <v>119.220725</v>
      </c>
      <c r="K814" s="1">
        <v>2.0099999999999998</v>
      </c>
      <c r="L814" s="1">
        <v>7334.5470400000004</v>
      </c>
      <c r="M814" s="1" t="s">
        <v>31</v>
      </c>
      <c r="N814" s="1" t="s">
        <v>31</v>
      </c>
      <c r="O814" s="1" t="s">
        <v>31</v>
      </c>
      <c r="P814" s="2">
        <f t="shared" si="24"/>
        <v>2.7404555305708417E-4</v>
      </c>
      <c r="Q814" s="2">
        <f t="shared" si="25"/>
        <v>249.82969751243783</v>
      </c>
    </row>
    <row r="815" spans="1:17" ht="12.5" x14ac:dyDescent="0.25">
      <c r="A815" s="1" t="s">
        <v>135</v>
      </c>
      <c r="B815" s="1" t="s">
        <v>16</v>
      </c>
      <c r="C815" s="1" t="s">
        <v>67</v>
      </c>
      <c r="D815" s="1" t="s">
        <v>41</v>
      </c>
      <c r="E815" s="1">
        <v>646.94541700000002</v>
      </c>
      <c r="F815" s="1">
        <v>82</v>
      </c>
      <c r="G815" s="1">
        <v>4202</v>
      </c>
      <c r="H815" s="1">
        <v>7.8895780000000002</v>
      </c>
      <c r="I815" s="1">
        <v>1.9515000000000001E-2</v>
      </c>
      <c r="J815" s="1">
        <v>153.961308</v>
      </c>
      <c r="K815" s="1">
        <v>0</v>
      </c>
      <c r="L815" s="1">
        <v>0</v>
      </c>
      <c r="M815" s="1" t="s">
        <v>31</v>
      </c>
      <c r="N815" s="1" t="s">
        <v>31</v>
      </c>
      <c r="O815" s="1" t="s">
        <v>31</v>
      </c>
      <c r="P815" s="2">
        <f t="shared" si="24"/>
        <v>0</v>
      </c>
      <c r="Q815" s="2">
        <f t="shared" si="25"/>
        <v>0</v>
      </c>
    </row>
    <row r="816" spans="1:17" ht="12.5" x14ac:dyDescent="0.25">
      <c r="A816" s="1" t="s">
        <v>136</v>
      </c>
      <c r="B816" s="1" t="s">
        <v>16</v>
      </c>
      <c r="C816" s="1" t="s">
        <v>67</v>
      </c>
      <c r="D816" s="1" t="s">
        <v>41</v>
      </c>
      <c r="E816" s="1">
        <v>175.193985</v>
      </c>
      <c r="F816" s="1">
        <v>40</v>
      </c>
      <c r="G816" s="1">
        <v>1453</v>
      </c>
      <c r="H816" s="1">
        <v>4.3798500000000002</v>
      </c>
      <c r="I816" s="1">
        <v>2.7529000000000001E-2</v>
      </c>
      <c r="J816" s="1">
        <v>120.573975</v>
      </c>
      <c r="K816" s="1">
        <v>1</v>
      </c>
      <c r="L816" s="1">
        <v>3964.3104600000001</v>
      </c>
      <c r="M816" s="1" t="s">
        <v>31</v>
      </c>
      <c r="N816" s="1" t="s">
        <v>31</v>
      </c>
      <c r="O816" s="1" t="s">
        <v>31</v>
      </c>
      <c r="P816" s="2">
        <f t="shared" si="24"/>
        <v>2.5225067766261676E-4</v>
      </c>
      <c r="Q816" s="2">
        <f t="shared" si="25"/>
        <v>175.193985</v>
      </c>
    </row>
    <row r="817" spans="1:17" ht="12.5" x14ac:dyDescent="0.25">
      <c r="A817" s="3">
        <v>46029</v>
      </c>
      <c r="B817" s="1" t="s">
        <v>16</v>
      </c>
      <c r="C817" s="1" t="s">
        <v>68</v>
      </c>
      <c r="D817" s="1" t="s">
        <v>41</v>
      </c>
      <c r="E817" s="1">
        <v>780.21200999999996</v>
      </c>
      <c r="F817" s="1">
        <v>158</v>
      </c>
      <c r="G817" s="1">
        <v>8490</v>
      </c>
      <c r="H817" s="1">
        <v>4.9380509999999997</v>
      </c>
      <c r="I817" s="1">
        <v>1.8610000000000002E-2</v>
      </c>
      <c r="J817" s="1">
        <v>91.897762999999998</v>
      </c>
      <c r="K817" s="1">
        <v>0</v>
      </c>
      <c r="L817" s="1">
        <v>0</v>
      </c>
      <c r="M817" s="1" t="s">
        <v>31</v>
      </c>
      <c r="N817" s="1" t="s">
        <v>31</v>
      </c>
      <c r="O817" s="1" t="s">
        <v>31</v>
      </c>
      <c r="P817" s="2">
        <f t="shared" si="24"/>
        <v>0</v>
      </c>
      <c r="Q817" s="2">
        <f t="shared" si="25"/>
        <v>0</v>
      </c>
    </row>
    <row r="818" spans="1:17" ht="12.5" x14ac:dyDescent="0.25">
      <c r="A818" s="3">
        <v>46060</v>
      </c>
      <c r="B818" s="1" t="s">
        <v>16</v>
      </c>
      <c r="C818" s="1" t="s">
        <v>68</v>
      </c>
      <c r="D818" s="1" t="s">
        <v>41</v>
      </c>
      <c r="E818" s="1">
        <v>2.48</v>
      </c>
      <c r="F818" s="1">
        <v>1</v>
      </c>
      <c r="G818" s="1">
        <v>118</v>
      </c>
      <c r="H818" s="1">
        <v>2.48</v>
      </c>
      <c r="I818" s="1">
        <v>8.4749999999999999E-3</v>
      </c>
      <c r="J818" s="1">
        <v>21.016949</v>
      </c>
      <c r="K818" s="1">
        <v>0</v>
      </c>
      <c r="L818" s="1">
        <v>0</v>
      </c>
      <c r="M818" s="1" t="s">
        <v>31</v>
      </c>
      <c r="N818" s="1" t="s">
        <v>31</v>
      </c>
      <c r="O818" s="1" t="s">
        <v>31</v>
      </c>
      <c r="P818" s="2">
        <f t="shared" si="24"/>
        <v>0</v>
      </c>
      <c r="Q818" s="2">
        <f t="shared" si="25"/>
        <v>0</v>
      </c>
    </row>
    <row r="819" spans="1:17" ht="12.5" x14ac:dyDescent="0.25">
      <c r="A819" s="3">
        <v>46119</v>
      </c>
      <c r="B819" s="1" t="s">
        <v>16</v>
      </c>
      <c r="C819" s="1" t="s">
        <v>68</v>
      </c>
      <c r="D819" s="1" t="s">
        <v>41</v>
      </c>
      <c r="E819" s="1">
        <v>1268.637843</v>
      </c>
      <c r="F819" s="1">
        <v>251</v>
      </c>
      <c r="G819" s="1">
        <v>12557</v>
      </c>
      <c r="H819" s="1">
        <v>5.0543339999999999</v>
      </c>
      <c r="I819" s="1">
        <v>1.9989E-2</v>
      </c>
      <c r="J819" s="1">
        <v>101.03032899999999</v>
      </c>
      <c r="K819" s="1">
        <v>0.88</v>
      </c>
      <c r="L819" s="1">
        <v>15198.75</v>
      </c>
      <c r="M819" s="1" t="s">
        <v>31</v>
      </c>
      <c r="N819" s="1" t="s">
        <v>31</v>
      </c>
      <c r="O819" s="1" t="s">
        <v>31</v>
      </c>
      <c r="P819" s="2">
        <f t="shared" si="24"/>
        <v>5.7899498314006089E-5</v>
      </c>
      <c r="Q819" s="2">
        <f t="shared" si="25"/>
        <v>1441.6339125</v>
      </c>
    </row>
    <row r="820" spans="1:17" ht="12.5" x14ac:dyDescent="0.25">
      <c r="A820" s="3">
        <v>46149</v>
      </c>
      <c r="B820" s="1" t="s">
        <v>16</v>
      </c>
      <c r="C820" s="1" t="s">
        <v>68</v>
      </c>
      <c r="D820" s="1" t="s">
        <v>41</v>
      </c>
      <c r="E820" s="1">
        <v>1954.240233</v>
      </c>
      <c r="F820" s="1">
        <v>313</v>
      </c>
      <c r="G820" s="1">
        <v>16395</v>
      </c>
      <c r="H820" s="1">
        <v>6.2435790000000004</v>
      </c>
      <c r="I820" s="1">
        <v>1.9091E-2</v>
      </c>
      <c r="J820" s="1">
        <v>119.19732999999999</v>
      </c>
      <c r="K820" s="1">
        <v>0.39</v>
      </c>
      <c r="L820" s="1">
        <v>78.845399999999998</v>
      </c>
      <c r="M820" s="1" t="s">
        <v>31</v>
      </c>
      <c r="N820" s="1" t="s">
        <v>31</v>
      </c>
      <c r="O820" s="1" t="s">
        <v>31</v>
      </c>
      <c r="P820" s="2">
        <f t="shared" si="24"/>
        <v>4.9463887557168844E-3</v>
      </c>
      <c r="Q820" s="2">
        <f t="shared" si="25"/>
        <v>5010.8723923076923</v>
      </c>
    </row>
    <row r="821" spans="1:17" ht="12.5" x14ac:dyDescent="0.25">
      <c r="A821" s="3">
        <v>46180</v>
      </c>
      <c r="B821" s="1" t="s">
        <v>16</v>
      </c>
      <c r="C821" s="1" t="s">
        <v>68</v>
      </c>
      <c r="D821" s="1" t="s">
        <v>41</v>
      </c>
      <c r="E821" s="1">
        <v>1595.4130130000001</v>
      </c>
      <c r="F821" s="1">
        <v>426</v>
      </c>
      <c r="G821" s="1">
        <v>21507</v>
      </c>
      <c r="H821" s="1">
        <v>3.745101</v>
      </c>
      <c r="I821" s="1">
        <v>1.9807999999999999E-2</v>
      </c>
      <c r="J821" s="1">
        <v>74.181104000000005</v>
      </c>
      <c r="K821" s="1">
        <v>0</v>
      </c>
      <c r="L821" s="1">
        <v>0</v>
      </c>
      <c r="M821" s="1" t="s">
        <v>31</v>
      </c>
      <c r="N821" s="1" t="s">
        <v>31</v>
      </c>
      <c r="O821" s="1" t="s">
        <v>31</v>
      </c>
      <c r="P821" s="2">
        <f t="shared" si="24"/>
        <v>0</v>
      </c>
      <c r="Q821" s="2">
        <f t="shared" si="25"/>
        <v>0</v>
      </c>
    </row>
    <row r="822" spans="1:17" ht="12.5" x14ac:dyDescent="0.25">
      <c r="A822" s="3">
        <v>46210</v>
      </c>
      <c r="B822" s="1" t="s">
        <v>16</v>
      </c>
      <c r="C822" s="1" t="s">
        <v>68</v>
      </c>
      <c r="D822" s="1" t="s">
        <v>41</v>
      </c>
      <c r="E822" s="1">
        <v>1486.356761</v>
      </c>
      <c r="F822" s="1">
        <v>351</v>
      </c>
      <c r="G822" s="1">
        <v>18172</v>
      </c>
      <c r="H822" s="1">
        <v>4.2346349999999999</v>
      </c>
      <c r="I822" s="1">
        <v>1.9314999999999999E-2</v>
      </c>
      <c r="J822" s="1">
        <v>81.793790999999999</v>
      </c>
      <c r="K822" s="1">
        <v>0</v>
      </c>
      <c r="L822" s="1">
        <v>0</v>
      </c>
      <c r="M822" s="1" t="s">
        <v>31</v>
      </c>
      <c r="N822" s="1" t="s">
        <v>31</v>
      </c>
      <c r="O822" s="1" t="s">
        <v>31</v>
      </c>
      <c r="P822" s="2">
        <f t="shared" si="24"/>
        <v>0</v>
      </c>
      <c r="Q822" s="2">
        <f t="shared" si="25"/>
        <v>0</v>
      </c>
    </row>
    <row r="823" spans="1:17" ht="12.5" x14ac:dyDescent="0.25">
      <c r="A823" s="3">
        <v>46241</v>
      </c>
      <c r="B823" s="1" t="s">
        <v>16</v>
      </c>
      <c r="C823" s="1" t="s">
        <v>68</v>
      </c>
      <c r="D823" s="1" t="s">
        <v>41</v>
      </c>
      <c r="E823" s="1">
        <v>680.06133899999998</v>
      </c>
      <c r="F823" s="1">
        <v>182</v>
      </c>
      <c r="G823" s="1">
        <v>8791</v>
      </c>
      <c r="H823" s="1">
        <v>3.7366009999999998</v>
      </c>
      <c r="I823" s="1">
        <v>2.0702999999999999E-2</v>
      </c>
      <c r="J823" s="1">
        <v>77.358815000000007</v>
      </c>
      <c r="K823" s="1">
        <v>0</v>
      </c>
      <c r="L823" s="1">
        <v>0</v>
      </c>
      <c r="M823" s="1" t="s">
        <v>31</v>
      </c>
      <c r="N823" s="1" t="s">
        <v>31</v>
      </c>
      <c r="O823" s="1" t="s">
        <v>31</v>
      </c>
      <c r="P823" s="2">
        <f t="shared" si="24"/>
        <v>0</v>
      </c>
      <c r="Q823" s="2">
        <f t="shared" si="25"/>
        <v>0</v>
      </c>
    </row>
    <row r="824" spans="1:17" ht="12.5" x14ac:dyDescent="0.25">
      <c r="A824" s="3">
        <v>46272</v>
      </c>
      <c r="B824" s="1" t="s">
        <v>16</v>
      </c>
      <c r="C824" s="1" t="s">
        <v>68</v>
      </c>
      <c r="D824" s="1" t="s">
        <v>41</v>
      </c>
      <c r="E824" s="1">
        <v>1002.655829</v>
      </c>
      <c r="F824" s="1">
        <v>312</v>
      </c>
      <c r="G824" s="1">
        <v>15001</v>
      </c>
      <c r="H824" s="1">
        <v>3.2136399999999998</v>
      </c>
      <c r="I824" s="1">
        <v>2.0799000000000002E-2</v>
      </c>
      <c r="J824" s="1">
        <v>66.839265999999995</v>
      </c>
      <c r="K824" s="1">
        <v>1</v>
      </c>
      <c r="L824" s="1">
        <v>11750</v>
      </c>
      <c r="M824" s="1" t="s">
        <v>31</v>
      </c>
      <c r="N824" s="1" t="s">
        <v>31</v>
      </c>
      <c r="O824" s="1" t="s">
        <v>31</v>
      </c>
      <c r="P824" s="2">
        <f t="shared" si="24"/>
        <v>8.5106382978723409E-5</v>
      </c>
      <c r="Q824" s="2">
        <f t="shared" si="25"/>
        <v>1002.655829</v>
      </c>
    </row>
    <row r="825" spans="1:17" ht="12.5" x14ac:dyDescent="0.25">
      <c r="A825" s="3">
        <v>46302</v>
      </c>
      <c r="B825" s="1" t="s">
        <v>16</v>
      </c>
      <c r="C825" s="1" t="s">
        <v>68</v>
      </c>
      <c r="D825" s="1" t="s">
        <v>41</v>
      </c>
      <c r="E825" s="1">
        <v>1308.370617</v>
      </c>
      <c r="F825" s="1">
        <v>382</v>
      </c>
      <c r="G825" s="1">
        <v>17828</v>
      </c>
      <c r="H825" s="1">
        <v>3.4250539999999998</v>
      </c>
      <c r="I825" s="1">
        <v>2.1427000000000002E-2</v>
      </c>
      <c r="J825" s="1">
        <v>73.388525000000001</v>
      </c>
      <c r="K825" s="1">
        <v>0</v>
      </c>
      <c r="L825" s="1">
        <v>0</v>
      </c>
      <c r="M825" s="1" t="s">
        <v>31</v>
      </c>
      <c r="N825" s="1" t="s">
        <v>31</v>
      </c>
      <c r="O825" s="1" t="s">
        <v>31</v>
      </c>
      <c r="P825" s="2">
        <f t="shared" si="24"/>
        <v>0</v>
      </c>
      <c r="Q825" s="2">
        <f t="shared" si="25"/>
        <v>0</v>
      </c>
    </row>
    <row r="826" spans="1:17" ht="12.5" x14ac:dyDescent="0.25">
      <c r="A826" s="3">
        <v>46333</v>
      </c>
      <c r="B826" s="1" t="s">
        <v>16</v>
      </c>
      <c r="C826" s="1" t="s">
        <v>68</v>
      </c>
      <c r="D826" s="1" t="s">
        <v>41</v>
      </c>
      <c r="E826" s="1">
        <v>1233.655943</v>
      </c>
      <c r="F826" s="1">
        <v>542</v>
      </c>
      <c r="G826" s="1">
        <v>23129</v>
      </c>
      <c r="H826" s="1">
        <v>2.2761179999999999</v>
      </c>
      <c r="I826" s="1">
        <v>2.3434E-2</v>
      </c>
      <c r="J826" s="1">
        <v>53.338057999999997</v>
      </c>
      <c r="K826" s="1">
        <v>0</v>
      </c>
      <c r="L826" s="1">
        <v>0</v>
      </c>
      <c r="M826" s="1" t="s">
        <v>31</v>
      </c>
      <c r="N826" s="1" t="s">
        <v>31</v>
      </c>
      <c r="O826" s="1" t="s">
        <v>31</v>
      </c>
      <c r="P826" s="2">
        <f t="shared" si="24"/>
        <v>0</v>
      </c>
      <c r="Q826" s="2">
        <f t="shared" si="25"/>
        <v>0</v>
      </c>
    </row>
    <row r="827" spans="1:17" ht="12.5" x14ac:dyDescent="0.25">
      <c r="A827" s="3">
        <v>46363</v>
      </c>
      <c r="B827" s="1" t="s">
        <v>16</v>
      </c>
      <c r="C827" s="1" t="s">
        <v>68</v>
      </c>
      <c r="D827" s="1" t="s">
        <v>41</v>
      </c>
      <c r="E827" s="1">
        <v>1026.0304940000001</v>
      </c>
      <c r="F827" s="1">
        <v>566</v>
      </c>
      <c r="G827" s="1">
        <v>22655</v>
      </c>
      <c r="H827" s="1">
        <v>1.812775</v>
      </c>
      <c r="I827" s="1">
        <v>2.4983000000000002E-2</v>
      </c>
      <c r="J827" s="1">
        <v>45.289361999999997</v>
      </c>
      <c r="K827" s="1">
        <v>0</v>
      </c>
      <c r="L827" s="1">
        <v>0</v>
      </c>
      <c r="M827" s="1" t="s">
        <v>31</v>
      </c>
      <c r="N827" s="1" t="s">
        <v>31</v>
      </c>
      <c r="O827" s="1" t="s">
        <v>31</v>
      </c>
      <c r="P827" s="2">
        <f t="shared" si="24"/>
        <v>0</v>
      </c>
      <c r="Q827" s="2">
        <f t="shared" si="25"/>
        <v>0</v>
      </c>
    </row>
    <row r="828" spans="1:17" ht="12.5" x14ac:dyDescent="0.25">
      <c r="A828" s="1" t="s">
        <v>137</v>
      </c>
      <c r="B828" s="1" t="s">
        <v>16</v>
      </c>
      <c r="C828" s="1" t="s">
        <v>68</v>
      </c>
      <c r="D828" s="1" t="s">
        <v>41</v>
      </c>
      <c r="E828" s="1">
        <v>862.48033899999996</v>
      </c>
      <c r="F828" s="1">
        <v>341</v>
      </c>
      <c r="G828" s="1">
        <v>14227</v>
      </c>
      <c r="H828" s="1">
        <v>2.5292680000000001</v>
      </c>
      <c r="I828" s="1">
        <v>2.3969000000000001E-2</v>
      </c>
      <c r="J828" s="1">
        <v>60.622782999999998</v>
      </c>
      <c r="K828" s="1">
        <v>0</v>
      </c>
      <c r="L828" s="1">
        <v>0</v>
      </c>
      <c r="M828" s="1" t="s">
        <v>31</v>
      </c>
      <c r="N828" s="1" t="s">
        <v>31</v>
      </c>
      <c r="O828" s="1" t="s">
        <v>31</v>
      </c>
      <c r="P828" s="2">
        <f t="shared" si="24"/>
        <v>0</v>
      </c>
      <c r="Q828" s="2">
        <f t="shared" si="25"/>
        <v>0</v>
      </c>
    </row>
    <row r="829" spans="1:17" ht="12.5" x14ac:dyDescent="0.25">
      <c r="A829" s="1" t="s">
        <v>138</v>
      </c>
      <c r="B829" s="1" t="s">
        <v>16</v>
      </c>
      <c r="C829" s="1" t="s">
        <v>68</v>
      </c>
      <c r="D829" s="1" t="s">
        <v>41</v>
      </c>
      <c r="E829" s="1">
        <v>435.96061600000002</v>
      </c>
      <c r="F829" s="1">
        <v>188</v>
      </c>
      <c r="G829" s="1">
        <v>9480</v>
      </c>
      <c r="H829" s="1">
        <v>2.3189389999999999</v>
      </c>
      <c r="I829" s="1">
        <v>1.9831000000000001E-2</v>
      </c>
      <c r="J829" s="1">
        <v>45.987406999999997</v>
      </c>
      <c r="K829" s="1">
        <v>0</v>
      </c>
      <c r="L829" s="1">
        <v>0</v>
      </c>
      <c r="M829" s="1" t="s">
        <v>31</v>
      </c>
      <c r="N829" s="1" t="s">
        <v>31</v>
      </c>
      <c r="O829" s="1" t="s">
        <v>31</v>
      </c>
      <c r="P829" s="2">
        <f t="shared" si="24"/>
        <v>0</v>
      </c>
      <c r="Q829" s="2">
        <f t="shared" si="25"/>
        <v>0</v>
      </c>
    </row>
    <row r="830" spans="1:17" ht="12.5" x14ac:dyDescent="0.25">
      <c r="A830" s="1" t="s">
        <v>122</v>
      </c>
      <c r="B830" s="1" t="s">
        <v>16</v>
      </c>
      <c r="C830" s="1" t="s">
        <v>68</v>
      </c>
      <c r="D830" s="1" t="s">
        <v>41</v>
      </c>
      <c r="E830" s="1">
        <v>1470.622629</v>
      </c>
      <c r="F830" s="1">
        <v>342</v>
      </c>
      <c r="G830" s="1">
        <v>16714</v>
      </c>
      <c r="H830" s="1">
        <v>4.3000660000000002</v>
      </c>
      <c r="I830" s="1">
        <v>2.0462000000000001E-2</v>
      </c>
      <c r="J830" s="1">
        <v>87.987472999999994</v>
      </c>
      <c r="K830" s="1">
        <v>3</v>
      </c>
      <c r="L830" s="1">
        <v>17820</v>
      </c>
      <c r="M830" s="1" t="s">
        <v>31</v>
      </c>
      <c r="N830" s="1" t="s">
        <v>31</v>
      </c>
      <c r="O830" s="1" t="s">
        <v>31</v>
      </c>
      <c r="P830" s="2">
        <f t="shared" si="24"/>
        <v>1.6835016835016836E-4</v>
      </c>
      <c r="Q830" s="2">
        <f t="shared" si="25"/>
        <v>490.20754299999999</v>
      </c>
    </row>
    <row r="831" spans="1:17" ht="12.5" x14ac:dyDescent="0.25">
      <c r="A831" s="1" t="s">
        <v>123</v>
      </c>
      <c r="B831" s="1" t="s">
        <v>16</v>
      </c>
      <c r="C831" s="1" t="s">
        <v>68</v>
      </c>
      <c r="D831" s="1" t="s">
        <v>41</v>
      </c>
      <c r="E831" s="1">
        <v>1106.0121469999999</v>
      </c>
      <c r="F831" s="1">
        <v>302</v>
      </c>
      <c r="G831" s="1">
        <v>15044</v>
      </c>
      <c r="H831" s="1">
        <v>3.6622919999999999</v>
      </c>
      <c r="I831" s="1">
        <v>2.0074000000000002E-2</v>
      </c>
      <c r="J831" s="1">
        <v>73.518489000000002</v>
      </c>
      <c r="K831" s="1">
        <v>0.32</v>
      </c>
      <c r="L831" s="1">
        <v>2878.953</v>
      </c>
      <c r="M831" s="1" t="s">
        <v>31</v>
      </c>
      <c r="N831" s="1" t="s">
        <v>31</v>
      </c>
      <c r="O831" s="1" t="s">
        <v>31</v>
      </c>
      <c r="P831" s="2">
        <f t="shared" si="24"/>
        <v>1.1115151931969713E-4</v>
      </c>
      <c r="Q831" s="2">
        <f t="shared" si="25"/>
        <v>3456.2879593749994</v>
      </c>
    </row>
    <row r="832" spans="1:17" ht="12.5" x14ac:dyDescent="0.25">
      <c r="A832" s="1" t="s">
        <v>124</v>
      </c>
      <c r="B832" s="1" t="s">
        <v>16</v>
      </c>
      <c r="C832" s="1" t="s">
        <v>68</v>
      </c>
      <c r="D832" s="1" t="s">
        <v>41</v>
      </c>
      <c r="E832" s="1">
        <v>725.283457</v>
      </c>
      <c r="F832" s="1">
        <v>176</v>
      </c>
      <c r="G832" s="1">
        <v>8472</v>
      </c>
      <c r="H832" s="1">
        <v>4.1209290000000003</v>
      </c>
      <c r="I832" s="1">
        <v>2.0774000000000001E-2</v>
      </c>
      <c r="J832" s="1">
        <v>85.609472999999994</v>
      </c>
      <c r="K832" s="1">
        <v>0</v>
      </c>
      <c r="L832" s="1">
        <v>0</v>
      </c>
      <c r="M832" s="1" t="s">
        <v>31</v>
      </c>
      <c r="N832" s="1" t="s">
        <v>31</v>
      </c>
      <c r="O832" s="1" t="s">
        <v>31</v>
      </c>
      <c r="P832" s="2">
        <f t="shared" si="24"/>
        <v>0</v>
      </c>
      <c r="Q832" s="2">
        <f t="shared" si="25"/>
        <v>0</v>
      </c>
    </row>
    <row r="833" spans="1:17" ht="12.5" x14ac:dyDescent="0.25">
      <c r="A833" s="1" t="s">
        <v>125</v>
      </c>
      <c r="B833" s="1" t="s">
        <v>16</v>
      </c>
      <c r="C833" s="1" t="s">
        <v>68</v>
      </c>
      <c r="D833" s="1" t="s">
        <v>41</v>
      </c>
      <c r="E833" s="1">
        <v>1187.664027</v>
      </c>
      <c r="F833" s="1">
        <v>483</v>
      </c>
      <c r="G833" s="1">
        <v>19082</v>
      </c>
      <c r="H833" s="1">
        <v>2.4589319999999999</v>
      </c>
      <c r="I833" s="1">
        <v>2.5312000000000001E-2</v>
      </c>
      <c r="J833" s="1">
        <v>62.240017999999999</v>
      </c>
      <c r="K833" s="1">
        <v>0</v>
      </c>
      <c r="L833" s="1">
        <v>0</v>
      </c>
      <c r="M833" s="1" t="s">
        <v>31</v>
      </c>
      <c r="N833" s="1" t="s">
        <v>31</v>
      </c>
      <c r="O833" s="1" t="s">
        <v>31</v>
      </c>
      <c r="P833" s="2">
        <f t="shared" si="24"/>
        <v>0</v>
      </c>
      <c r="Q833" s="2">
        <f t="shared" si="25"/>
        <v>0</v>
      </c>
    </row>
    <row r="834" spans="1:17" ht="12.5" x14ac:dyDescent="0.25">
      <c r="A834" s="1" t="s">
        <v>126</v>
      </c>
      <c r="B834" s="1" t="s">
        <v>16</v>
      </c>
      <c r="C834" s="1" t="s">
        <v>68</v>
      </c>
      <c r="D834" s="1" t="s">
        <v>41</v>
      </c>
      <c r="E834" s="1">
        <v>850.85300400000006</v>
      </c>
      <c r="F834" s="1">
        <v>125</v>
      </c>
      <c r="G834" s="1">
        <v>4585</v>
      </c>
      <c r="H834" s="1">
        <v>6.8068239999999998</v>
      </c>
      <c r="I834" s="1">
        <v>2.7262999999999999E-2</v>
      </c>
      <c r="J834" s="1">
        <v>185.57317399999999</v>
      </c>
      <c r="K834" s="1">
        <v>0</v>
      </c>
      <c r="L834" s="1">
        <v>0</v>
      </c>
      <c r="M834" s="1" t="s">
        <v>31</v>
      </c>
      <c r="N834" s="1" t="s">
        <v>31</v>
      </c>
      <c r="O834" s="1" t="s">
        <v>31</v>
      </c>
      <c r="P834" s="2">
        <f t="shared" si="24"/>
        <v>0</v>
      </c>
      <c r="Q834" s="2">
        <f t="shared" si="25"/>
        <v>0</v>
      </c>
    </row>
    <row r="835" spans="1:17" ht="12.5" x14ac:dyDescent="0.25">
      <c r="A835" s="1" t="s">
        <v>127</v>
      </c>
      <c r="B835" s="1" t="s">
        <v>16</v>
      </c>
      <c r="C835" s="1" t="s">
        <v>68</v>
      </c>
      <c r="D835" s="1" t="s">
        <v>41</v>
      </c>
      <c r="E835" s="1">
        <v>228.374202</v>
      </c>
      <c r="F835" s="1">
        <v>181</v>
      </c>
      <c r="G835" s="1">
        <v>7566</v>
      </c>
      <c r="H835" s="1">
        <v>1.261736</v>
      </c>
      <c r="I835" s="1">
        <v>2.3923E-2</v>
      </c>
      <c r="J835" s="1">
        <v>30.184272</v>
      </c>
      <c r="K835" s="1">
        <v>0</v>
      </c>
      <c r="L835" s="1">
        <v>0</v>
      </c>
      <c r="M835" s="1" t="s">
        <v>31</v>
      </c>
      <c r="N835" s="1" t="s">
        <v>31</v>
      </c>
      <c r="O835" s="1" t="s">
        <v>31</v>
      </c>
      <c r="P835" s="2">
        <f t="shared" ref="P835:P898" si="26">IFERROR(K835/ L835, 0)</f>
        <v>0</v>
      </c>
      <c r="Q835" s="2">
        <f t="shared" ref="Q835:Q898" si="27">IFERROR(E835/K835, 0)</f>
        <v>0</v>
      </c>
    </row>
    <row r="836" spans="1:17" ht="12.5" x14ac:dyDescent="0.25">
      <c r="A836" s="1" t="s">
        <v>139</v>
      </c>
      <c r="B836" s="1" t="s">
        <v>16</v>
      </c>
      <c r="C836" s="1" t="s">
        <v>68</v>
      </c>
      <c r="D836" s="1" t="s">
        <v>41</v>
      </c>
      <c r="E836" s="1">
        <v>243.915773</v>
      </c>
      <c r="F836" s="1">
        <v>105</v>
      </c>
      <c r="G836" s="1">
        <v>4705</v>
      </c>
      <c r="H836" s="1">
        <v>2.323007</v>
      </c>
      <c r="I836" s="1">
        <v>2.2317E-2</v>
      </c>
      <c r="J836" s="1">
        <v>51.841822000000001</v>
      </c>
      <c r="K836" s="1">
        <v>0</v>
      </c>
      <c r="L836" s="1">
        <v>0</v>
      </c>
      <c r="M836" s="1" t="s">
        <v>31</v>
      </c>
      <c r="N836" s="1" t="s">
        <v>31</v>
      </c>
      <c r="O836" s="1" t="s">
        <v>31</v>
      </c>
      <c r="P836" s="2">
        <f t="shared" si="26"/>
        <v>0</v>
      </c>
      <c r="Q836" s="2">
        <f t="shared" si="27"/>
        <v>0</v>
      </c>
    </row>
    <row r="837" spans="1:17" ht="12.5" x14ac:dyDescent="0.25">
      <c r="A837" s="1" t="s">
        <v>128</v>
      </c>
      <c r="B837" s="1" t="s">
        <v>16</v>
      </c>
      <c r="C837" s="1" t="s">
        <v>68</v>
      </c>
      <c r="D837" s="1" t="s">
        <v>41</v>
      </c>
      <c r="E837" s="1">
        <v>752.58324900000002</v>
      </c>
      <c r="F837" s="1">
        <v>307</v>
      </c>
      <c r="G837" s="1">
        <v>13376</v>
      </c>
      <c r="H837" s="1">
        <v>2.4514109999999998</v>
      </c>
      <c r="I837" s="1">
        <v>2.2952E-2</v>
      </c>
      <c r="J837" s="1">
        <v>56.2637</v>
      </c>
      <c r="K837" s="1">
        <v>0</v>
      </c>
      <c r="L837" s="1">
        <v>0</v>
      </c>
      <c r="M837" s="1" t="s">
        <v>31</v>
      </c>
      <c r="N837" s="1" t="s">
        <v>31</v>
      </c>
      <c r="O837" s="1" t="s">
        <v>31</v>
      </c>
      <c r="P837" s="2">
        <f t="shared" si="26"/>
        <v>0</v>
      </c>
      <c r="Q837" s="2">
        <f t="shared" si="27"/>
        <v>0</v>
      </c>
    </row>
    <row r="838" spans="1:17" ht="12.5" x14ac:dyDescent="0.25">
      <c r="A838" s="1" t="s">
        <v>129</v>
      </c>
      <c r="B838" s="1" t="s">
        <v>16</v>
      </c>
      <c r="C838" s="1" t="s">
        <v>68</v>
      </c>
      <c r="D838" s="1" t="s">
        <v>41</v>
      </c>
      <c r="E838" s="1">
        <v>832.19158800000002</v>
      </c>
      <c r="F838" s="1">
        <v>305</v>
      </c>
      <c r="G838" s="1">
        <v>14143</v>
      </c>
      <c r="H838" s="1">
        <v>2.728497</v>
      </c>
      <c r="I838" s="1">
        <v>2.1565000000000001E-2</v>
      </c>
      <c r="J838" s="1">
        <v>58.841234999999998</v>
      </c>
      <c r="K838" s="1">
        <v>0</v>
      </c>
      <c r="L838" s="1">
        <v>0</v>
      </c>
      <c r="M838" s="1" t="s">
        <v>31</v>
      </c>
      <c r="N838" s="1" t="s">
        <v>31</v>
      </c>
      <c r="O838" s="1" t="s">
        <v>31</v>
      </c>
      <c r="P838" s="2">
        <f t="shared" si="26"/>
        <v>0</v>
      </c>
      <c r="Q838" s="2">
        <f t="shared" si="27"/>
        <v>0</v>
      </c>
    </row>
    <row r="839" spans="1:17" ht="12.5" x14ac:dyDescent="0.25">
      <c r="A839" s="1" t="s">
        <v>130</v>
      </c>
      <c r="B839" s="1" t="s">
        <v>16</v>
      </c>
      <c r="C839" s="1" t="s">
        <v>68</v>
      </c>
      <c r="D839" s="1" t="s">
        <v>41</v>
      </c>
      <c r="E839" s="1">
        <v>516.51871800000004</v>
      </c>
      <c r="F839" s="1">
        <v>122</v>
      </c>
      <c r="G839" s="1">
        <v>5044</v>
      </c>
      <c r="H839" s="1">
        <v>4.2337600000000002</v>
      </c>
      <c r="I839" s="1">
        <v>2.4187E-2</v>
      </c>
      <c r="J839" s="1">
        <v>102.402601</v>
      </c>
      <c r="K839" s="1">
        <v>0</v>
      </c>
      <c r="L839" s="1">
        <v>0</v>
      </c>
      <c r="M839" s="1" t="s">
        <v>31</v>
      </c>
      <c r="N839" s="1" t="s">
        <v>31</v>
      </c>
      <c r="O839" s="1" t="s">
        <v>31</v>
      </c>
      <c r="P839" s="2">
        <f t="shared" si="26"/>
        <v>0</v>
      </c>
      <c r="Q839" s="2">
        <f t="shared" si="27"/>
        <v>0</v>
      </c>
    </row>
    <row r="840" spans="1:17" ht="12.5" x14ac:dyDescent="0.25">
      <c r="A840" s="1" t="s">
        <v>131</v>
      </c>
      <c r="B840" s="1" t="s">
        <v>16</v>
      </c>
      <c r="C840" s="1" t="s">
        <v>68</v>
      </c>
      <c r="D840" s="1" t="s">
        <v>41</v>
      </c>
      <c r="E840" s="1">
        <v>356.935856</v>
      </c>
      <c r="F840" s="1">
        <v>106</v>
      </c>
      <c r="G840" s="1">
        <v>5034</v>
      </c>
      <c r="H840" s="1">
        <v>3.3673190000000002</v>
      </c>
      <c r="I840" s="1">
        <v>2.1056999999999999E-2</v>
      </c>
      <c r="J840" s="1">
        <v>70.905017000000001</v>
      </c>
      <c r="K840" s="1">
        <v>0</v>
      </c>
      <c r="L840" s="1">
        <v>0</v>
      </c>
      <c r="M840" s="1" t="s">
        <v>31</v>
      </c>
      <c r="N840" s="1" t="s">
        <v>31</v>
      </c>
      <c r="O840" s="1" t="s">
        <v>31</v>
      </c>
      <c r="P840" s="2">
        <f t="shared" si="26"/>
        <v>0</v>
      </c>
      <c r="Q840" s="2">
        <f t="shared" si="27"/>
        <v>0</v>
      </c>
    </row>
    <row r="841" spans="1:17" ht="12.5" x14ac:dyDescent="0.25">
      <c r="A841" s="1" t="s">
        <v>132</v>
      </c>
      <c r="B841" s="1" t="s">
        <v>16</v>
      </c>
      <c r="C841" s="1" t="s">
        <v>68</v>
      </c>
      <c r="D841" s="1" t="s">
        <v>41</v>
      </c>
      <c r="E841" s="1">
        <v>346.98379199999999</v>
      </c>
      <c r="F841" s="1">
        <v>168</v>
      </c>
      <c r="G841" s="1">
        <v>7377</v>
      </c>
      <c r="H841" s="1">
        <v>2.0653800000000002</v>
      </c>
      <c r="I841" s="1">
        <v>2.2773000000000002E-2</v>
      </c>
      <c r="J841" s="1">
        <v>47.035893999999999</v>
      </c>
      <c r="K841" s="1">
        <v>0</v>
      </c>
      <c r="L841" s="1">
        <v>0</v>
      </c>
      <c r="M841" s="1" t="s">
        <v>31</v>
      </c>
      <c r="N841" s="1" t="s">
        <v>31</v>
      </c>
      <c r="O841" s="1" t="s">
        <v>31</v>
      </c>
      <c r="P841" s="2">
        <f t="shared" si="26"/>
        <v>0</v>
      </c>
      <c r="Q841" s="2">
        <f t="shared" si="27"/>
        <v>0</v>
      </c>
    </row>
    <row r="842" spans="1:17" ht="12.5" x14ac:dyDescent="0.25">
      <c r="A842" s="1" t="s">
        <v>133</v>
      </c>
      <c r="B842" s="1" t="s">
        <v>16</v>
      </c>
      <c r="C842" s="1" t="s">
        <v>68</v>
      </c>
      <c r="D842" s="1" t="s">
        <v>41</v>
      </c>
      <c r="E842" s="1">
        <v>677.51603299999999</v>
      </c>
      <c r="F842" s="1">
        <v>261</v>
      </c>
      <c r="G842" s="1">
        <v>10791</v>
      </c>
      <c r="H842" s="1">
        <v>2.595847</v>
      </c>
      <c r="I842" s="1">
        <v>2.4187E-2</v>
      </c>
      <c r="J842" s="1">
        <v>62.785286999999997</v>
      </c>
      <c r="K842" s="1">
        <v>1</v>
      </c>
      <c r="L842" s="1">
        <v>4999</v>
      </c>
      <c r="M842" s="1" t="s">
        <v>31</v>
      </c>
      <c r="N842" s="1" t="s">
        <v>31</v>
      </c>
      <c r="O842" s="1" t="s">
        <v>31</v>
      </c>
      <c r="P842" s="2">
        <f t="shared" si="26"/>
        <v>2.0004000800160032E-4</v>
      </c>
      <c r="Q842" s="2">
        <f t="shared" si="27"/>
        <v>677.51603299999999</v>
      </c>
    </row>
    <row r="843" spans="1:17" ht="12.5" x14ac:dyDescent="0.25">
      <c r="A843" s="1" t="s">
        <v>134</v>
      </c>
      <c r="B843" s="1" t="s">
        <v>16</v>
      </c>
      <c r="C843" s="1" t="s">
        <v>68</v>
      </c>
      <c r="D843" s="1" t="s">
        <v>41</v>
      </c>
      <c r="E843" s="1">
        <v>441.18114800000001</v>
      </c>
      <c r="F843" s="1">
        <v>180</v>
      </c>
      <c r="G843" s="1">
        <v>8220</v>
      </c>
      <c r="H843" s="1">
        <v>2.451006</v>
      </c>
      <c r="I843" s="1">
        <v>2.1898000000000001E-2</v>
      </c>
      <c r="J843" s="1">
        <v>53.671672999999998</v>
      </c>
      <c r="K843" s="1">
        <v>0</v>
      </c>
      <c r="L843" s="1">
        <v>0</v>
      </c>
      <c r="M843" s="1" t="s">
        <v>31</v>
      </c>
      <c r="N843" s="1" t="s">
        <v>31</v>
      </c>
      <c r="O843" s="1" t="s">
        <v>31</v>
      </c>
      <c r="P843" s="2">
        <f t="shared" si="26"/>
        <v>0</v>
      </c>
      <c r="Q843" s="2">
        <f t="shared" si="27"/>
        <v>0</v>
      </c>
    </row>
    <row r="844" spans="1:17" ht="12.5" x14ac:dyDescent="0.25">
      <c r="A844" s="1" t="s">
        <v>135</v>
      </c>
      <c r="B844" s="1" t="s">
        <v>16</v>
      </c>
      <c r="C844" s="1" t="s">
        <v>68</v>
      </c>
      <c r="D844" s="1" t="s">
        <v>41</v>
      </c>
      <c r="E844" s="1">
        <v>506.81829800000003</v>
      </c>
      <c r="F844" s="1">
        <v>122</v>
      </c>
      <c r="G844" s="1">
        <v>6504</v>
      </c>
      <c r="H844" s="1">
        <v>4.1542479999999999</v>
      </c>
      <c r="I844" s="1">
        <v>1.8758E-2</v>
      </c>
      <c r="J844" s="1">
        <v>77.924092999999999</v>
      </c>
      <c r="K844" s="1">
        <v>0.02</v>
      </c>
      <c r="L844" s="1">
        <v>77.715000000000003</v>
      </c>
      <c r="M844" s="1" t="s">
        <v>31</v>
      </c>
      <c r="N844" s="1" t="s">
        <v>31</v>
      </c>
      <c r="O844" s="1" t="s">
        <v>31</v>
      </c>
      <c r="P844" s="2">
        <f t="shared" si="26"/>
        <v>2.5735057582191342E-4</v>
      </c>
      <c r="Q844" s="2">
        <f t="shared" si="27"/>
        <v>25340.9149</v>
      </c>
    </row>
    <row r="845" spans="1:17" ht="12.5" x14ac:dyDescent="0.25">
      <c r="A845" s="1" t="s">
        <v>136</v>
      </c>
      <c r="B845" s="1" t="s">
        <v>16</v>
      </c>
      <c r="C845" s="1" t="s">
        <v>68</v>
      </c>
      <c r="D845" s="1" t="s">
        <v>41</v>
      </c>
      <c r="E845" s="1">
        <v>459.93988200000001</v>
      </c>
      <c r="F845" s="1">
        <v>99</v>
      </c>
      <c r="G845" s="1">
        <v>3775</v>
      </c>
      <c r="H845" s="1">
        <v>4.6458570000000003</v>
      </c>
      <c r="I845" s="1">
        <v>2.6224999999999998E-2</v>
      </c>
      <c r="J845" s="1">
        <v>121.838379</v>
      </c>
      <c r="K845" s="1">
        <v>0.02</v>
      </c>
      <c r="L845" s="1">
        <v>116.58750000000001</v>
      </c>
      <c r="M845" s="1" t="s">
        <v>31</v>
      </c>
      <c r="N845" s="1" t="s">
        <v>31</v>
      </c>
      <c r="O845" s="1" t="s">
        <v>31</v>
      </c>
      <c r="P845" s="2">
        <f t="shared" si="26"/>
        <v>1.7154497694864371E-4</v>
      </c>
      <c r="Q845" s="2">
        <f t="shared" si="27"/>
        <v>22996.9941</v>
      </c>
    </row>
    <row r="846" spans="1:17" ht="12.5" x14ac:dyDescent="0.25">
      <c r="A846" s="3">
        <v>46029</v>
      </c>
      <c r="B846" s="1" t="s">
        <v>16</v>
      </c>
      <c r="C846" s="1" t="s">
        <v>46</v>
      </c>
      <c r="D846" s="1" t="s">
        <v>41</v>
      </c>
      <c r="E846" s="1">
        <v>20.100000000000001</v>
      </c>
      <c r="F846" s="1">
        <v>1</v>
      </c>
      <c r="G846" s="1">
        <v>2</v>
      </c>
      <c r="H846" s="1">
        <v>20.100000000000001</v>
      </c>
      <c r="I846" s="1">
        <v>0.5</v>
      </c>
      <c r="J846" s="1">
        <v>10050</v>
      </c>
      <c r="K846" s="1">
        <v>0</v>
      </c>
      <c r="L846" s="1">
        <v>0</v>
      </c>
      <c r="M846" s="1" t="s">
        <v>19</v>
      </c>
      <c r="N846" s="1" t="s">
        <v>69</v>
      </c>
      <c r="O846" s="1" t="s">
        <v>69</v>
      </c>
      <c r="P846" s="2">
        <f t="shared" si="26"/>
        <v>0</v>
      </c>
      <c r="Q846" s="2">
        <f t="shared" si="27"/>
        <v>0</v>
      </c>
    </row>
    <row r="847" spans="1:17" ht="12.5" x14ac:dyDescent="0.25">
      <c r="A847" s="3">
        <v>46119</v>
      </c>
      <c r="B847" s="1" t="s">
        <v>16</v>
      </c>
      <c r="C847" s="1" t="s">
        <v>46</v>
      </c>
      <c r="D847" s="1" t="s">
        <v>41</v>
      </c>
      <c r="E847" s="1">
        <v>219.95</v>
      </c>
      <c r="F847" s="1">
        <v>3</v>
      </c>
      <c r="G847" s="1">
        <v>6</v>
      </c>
      <c r="H847" s="1">
        <v>73.316666999999995</v>
      </c>
      <c r="I847" s="1">
        <v>0.5</v>
      </c>
      <c r="J847" s="1">
        <v>36658.333330000001</v>
      </c>
      <c r="K847" s="1">
        <v>0</v>
      </c>
      <c r="L847" s="1">
        <v>0</v>
      </c>
      <c r="M847" s="1" t="s">
        <v>19</v>
      </c>
      <c r="N847" s="1" t="s">
        <v>69</v>
      </c>
      <c r="O847" s="1" t="s">
        <v>69</v>
      </c>
      <c r="P847" s="2">
        <f t="shared" si="26"/>
        <v>0</v>
      </c>
      <c r="Q847" s="2">
        <f t="shared" si="27"/>
        <v>0</v>
      </c>
    </row>
    <row r="848" spans="1:17" ht="12.5" x14ac:dyDescent="0.25">
      <c r="A848" s="3">
        <v>46149</v>
      </c>
      <c r="B848" s="1" t="s">
        <v>16</v>
      </c>
      <c r="C848" s="1" t="s">
        <v>46</v>
      </c>
      <c r="D848" s="1" t="s">
        <v>41</v>
      </c>
      <c r="E848" s="1">
        <v>43.23</v>
      </c>
      <c r="F848" s="1">
        <v>1</v>
      </c>
      <c r="G848" s="1">
        <v>4</v>
      </c>
      <c r="H848" s="1">
        <v>43.23</v>
      </c>
      <c r="I848" s="1">
        <v>0.25</v>
      </c>
      <c r="J848" s="1">
        <v>10807.5</v>
      </c>
      <c r="K848" s="1">
        <v>0</v>
      </c>
      <c r="L848" s="1">
        <v>0</v>
      </c>
      <c r="M848" s="1" t="s">
        <v>19</v>
      </c>
      <c r="N848" s="1" t="s">
        <v>69</v>
      </c>
      <c r="O848" s="1" t="s">
        <v>69</v>
      </c>
      <c r="P848" s="2">
        <f t="shared" si="26"/>
        <v>0</v>
      </c>
      <c r="Q848" s="2">
        <f t="shared" si="27"/>
        <v>0</v>
      </c>
    </row>
    <row r="849" spans="1:17" ht="12.5" x14ac:dyDescent="0.25">
      <c r="A849" s="3">
        <v>46180</v>
      </c>
      <c r="B849" s="1" t="s">
        <v>16</v>
      </c>
      <c r="C849" s="1" t="s">
        <v>46</v>
      </c>
      <c r="D849" s="1" t="s">
        <v>41</v>
      </c>
      <c r="E849" s="1">
        <v>36.950000000000003</v>
      </c>
      <c r="F849" s="1">
        <v>4</v>
      </c>
      <c r="G849" s="1">
        <v>12</v>
      </c>
      <c r="H849" s="1">
        <v>9.2375000000000007</v>
      </c>
      <c r="I849" s="1">
        <v>0.33333299999999999</v>
      </c>
      <c r="J849" s="1">
        <v>3079.166667</v>
      </c>
      <c r="K849" s="1">
        <v>1</v>
      </c>
      <c r="L849" s="1">
        <v>12931.6</v>
      </c>
      <c r="M849" s="1" t="s">
        <v>19</v>
      </c>
      <c r="N849" s="1" t="s">
        <v>69</v>
      </c>
      <c r="O849" s="1" t="s">
        <v>69</v>
      </c>
      <c r="P849" s="2">
        <f t="shared" si="26"/>
        <v>7.7329951436790496E-5</v>
      </c>
      <c r="Q849" s="2">
        <f t="shared" si="27"/>
        <v>36.950000000000003</v>
      </c>
    </row>
    <row r="850" spans="1:17" ht="12.5" x14ac:dyDescent="0.25">
      <c r="A850" s="3">
        <v>46210</v>
      </c>
      <c r="B850" s="1" t="s">
        <v>16</v>
      </c>
      <c r="C850" s="1" t="s">
        <v>46</v>
      </c>
      <c r="D850" s="1" t="s">
        <v>41</v>
      </c>
      <c r="E850" s="1">
        <v>22.92</v>
      </c>
      <c r="F850" s="1">
        <v>4</v>
      </c>
      <c r="G850" s="1">
        <v>6</v>
      </c>
      <c r="H850" s="1">
        <v>5.73</v>
      </c>
      <c r="I850" s="1">
        <v>0.66666700000000001</v>
      </c>
      <c r="J850" s="1">
        <v>3820</v>
      </c>
      <c r="K850" s="1">
        <v>0</v>
      </c>
      <c r="L850" s="1">
        <v>0</v>
      </c>
      <c r="M850" s="1" t="s">
        <v>19</v>
      </c>
      <c r="N850" s="1" t="s">
        <v>69</v>
      </c>
      <c r="O850" s="1" t="s">
        <v>69</v>
      </c>
      <c r="P850" s="2">
        <f t="shared" si="26"/>
        <v>0</v>
      </c>
      <c r="Q850" s="2">
        <f t="shared" si="27"/>
        <v>0</v>
      </c>
    </row>
    <row r="851" spans="1:17" ht="12.5" x14ac:dyDescent="0.25">
      <c r="A851" s="3">
        <v>46241</v>
      </c>
      <c r="B851" s="1" t="s">
        <v>16</v>
      </c>
      <c r="C851" s="1" t="s">
        <v>46</v>
      </c>
      <c r="D851" s="1" t="s">
        <v>41</v>
      </c>
      <c r="E851" s="1">
        <v>1.28</v>
      </c>
      <c r="F851" s="1">
        <v>1</v>
      </c>
      <c r="G851" s="1">
        <v>4</v>
      </c>
      <c r="H851" s="1">
        <v>1.28</v>
      </c>
      <c r="I851" s="1">
        <v>0.25</v>
      </c>
      <c r="J851" s="1">
        <v>320</v>
      </c>
      <c r="K851" s="1">
        <v>0</v>
      </c>
      <c r="L851" s="1">
        <v>0</v>
      </c>
      <c r="M851" s="1" t="s">
        <v>19</v>
      </c>
      <c r="N851" s="1" t="s">
        <v>69</v>
      </c>
      <c r="O851" s="1" t="s">
        <v>69</v>
      </c>
      <c r="P851" s="2">
        <f t="shared" si="26"/>
        <v>0</v>
      </c>
      <c r="Q851" s="2">
        <f t="shared" si="27"/>
        <v>0</v>
      </c>
    </row>
    <row r="852" spans="1:17" ht="12.5" x14ac:dyDescent="0.25">
      <c r="A852" s="3">
        <v>46272</v>
      </c>
      <c r="B852" s="1" t="s">
        <v>16</v>
      </c>
      <c r="C852" s="1" t="s">
        <v>46</v>
      </c>
      <c r="D852" s="1" t="s">
        <v>41</v>
      </c>
      <c r="E852" s="1">
        <v>261.83</v>
      </c>
      <c r="F852" s="1">
        <v>2</v>
      </c>
      <c r="G852" s="1">
        <v>6</v>
      </c>
      <c r="H852" s="1">
        <v>130.91499999999999</v>
      </c>
      <c r="I852" s="1">
        <v>0.33333299999999999</v>
      </c>
      <c r="J852" s="1">
        <v>43638.333330000001</v>
      </c>
      <c r="K852" s="1">
        <v>0</v>
      </c>
      <c r="L852" s="1">
        <v>0</v>
      </c>
      <c r="M852" s="1" t="s">
        <v>19</v>
      </c>
      <c r="N852" s="1" t="s">
        <v>69</v>
      </c>
      <c r="O852" s="1" t="s">
        <v>69</v>
      </c>
      <c r="P852" s="2">
        <f t="shared" si="26"/>
        <v>0</v>
      </c>
      <c r="Q852" s="2">
        <f t="shared" si="27"/>
        <v>0</v>
      </c>
    </row>
    <row r="853" spans="1:17" ht="12.5" x14ac:dyDescent="0.25">
      <c r="A853" s="3">
        <v>46302</v>
      </c>
      <c r="B853" s="1" t="s">
        <v>16</v>
      </c>
      <c r="C853" s="1" t="s">
        <v>46</v>
      </c>
      <c r="D853" s="1" t="s">
        <v>41</v>
      </c>
      <c r="E853" s="1">
        <v>145.85</v>
      </c>
      <c r="F853" s="1">
        <v>7</v>
      </c>
      <c r="G853" s="1">
        <v>20</v>
      </c>
      <c r="H853" s="1">
        <v>20.835713999999999</v>
      </c>
      <c r="I853" s="1">
        <v>0.35</v>
      </c>
      <c r="J853" s="1">
        <v>7292.5</v>
      </c>
      <c r="K853" s="1">
        <v>0</v>
      </c>
      <c r="L853" s="1">
        <v>0</v>
      </c>
      <c r="M853" s="1" t="s">
        <v>19</v>
      </c>
      <c r="N853" s="1" t="s">
        <v>69</v>
      </c>
      <c r="O853" s="1" t="s">
        <v>69</v>
      </c>
      <c r="P853" s="2">
        <f t="shared" si="26"/>
        <v>0</v>
      </c>
      <c r="Q853" s="2">
        <f t="shared" si="27"/>
        <v>0</v>
      </c>
    </row>
    <row r="854" spans="1:17" ht="12.5" x14ac:dyDescent="0.25">
      <c r="A854" s="3">
        <v>46333</v>
      </c>
      <c r="B854" s="1" t="s">
        <v>16</v>
      </c>
      <c r="C854" s="1" t="s">
        <v>46</v>
      </c>
      <c r="D854" s="1" t="s">
        <v>41</v>
      </c>
      <c r="E854" s="1">
        <v>43.46</v>
      </c>
      <c r="F854" s="1">
        <v>3</v>
      </c>
      <c r="G854" s="1">
        <v>10</v>
      </c>
      <c r="H854" s="1">
        <v>14.486667000000001</v>
      </c>
      <c r="I854" s="1">
        <v>0.3</v>
      </c>
      <c r="J854" s="1">
        <v>4346</v>
      </c>
      <c r="K854" s="1">
        <v>0</v>
      </c>
      <c r="L854" s="1">
        <v>0</v>
      </c>
      <c r="M854" s="1" t="s">
        <v>19</v>
      </c>
      <c r="N854" s="1" t="s">
        <v>69</v>
      </c>
      <c r="O854" s="1" t="s">
        <v>69</v>
      </c>
      <c r="P854" s="2">
        <f t="shared" si="26"/>
        <v>0</v>
      </c>
      <c r="Q854" s="2">
        <f t="shared" si="27"/>
        <v>0</v>
      </c>
    </row>
    <row r="855" spans="1:17" ht="12.5" x14ac:dyDescent="0.25">
      <c r="A855" s="3">
        <v>46363</v>
      </c>
      <c r="B855" s="1" t="s">
        <v>16</v>
      </c>
      <c r="C855" s="1" t="s">
        <v>46</v>
      </c>
      <c r="D855" s="1" t="s">
        <v>41</v>
      </c>
      <c r="E855" s="1">
        <v>2.56</v>
      </c>
      <c r="F855" s="1">
        <v>2</v>
      </c>
      <c r="G855" s="1">
        <v>4</v>
      </c>
      <c r="H855" s="1">
        <v>1.28</v>
      </c>
      <c r="I855" s="1">
        <v>0.5</v>
      </c>
      <c r="J855" s="1">
        <v>640</v>
      </c>
      <c r="K855" s="1">
        <v>0</v>
      </c>
      <c r="L855" s="1">
        <v>0</v>
      </c>
      <c r="M855" s="1" t="s">
        <v>19</v>
      </c>
      <c r="N855" s="1" t="s">
        <v>69</v>
      </c>
      <c r="O855" s="1" t="s">
        <v>69</v>
      </c>
      <c r="P855" s="2">
        <f t="shared" si="26"/>
        <v>0</v>
      </c>
      <c r="Q855" s="2">
        <f t="shared" si="27"/>
        <v>0</v>
      </c>
    </row>
    <row r="856" spans="1:17" ht="12.5" x14ac:dyDescent="0.25">
      <c r="A856" s="1" t="s">
        <v>137</v>
      </c>
      <c r="B856" s="1" t="s">
        <v>16</v>
      </c>
      <c r="C856" s="1" t="s">
        <v>46</v>
      </c>
      <c r="D856" s="1" t="s">
        <v>41</v>
      </c>
      <c r="E856" s="1">
        <v>199.390862</v>
      </c>
      <c r="F856" s="1">
        <v>5</v>
      </c>
      <c r="G856" s="1">
        <v>10</v>
      </c>
      <c r="H856" s="1">
        <v>39.878171999999999</v>
      </c>
      <c r="I856" s="1">
        <v>0.5</v>
      </c>
      <c r="J856" s="1">
        <v>19939.086200000002</v>
      </c>
      <c r="K856" s="1">
        <v>0</v>
      </c>
      <c r="L856" s="1">
        <v>0</v>
      </c>
      <c r="M856" s="1" t="s">
        <v>19</v>
      </c>
      <c r="N856" s="1" t="s">
        <v>69</v>
      </c>
      <c r="O856" s="1" t="s">
        <v>69</v>
      </c>
      <c r="P856" s="2">
        <f t="shared" si="26"/>
        <v>0</v>
      </c>
      <c r="Q856" s="2">
        <f t="shared" si="27"/>
        <v>0</v>
      </c>
    </row>
    <row r="857" spans="1:17" ht="12.5" x14ac:dyDescent="0.25">
      <c r="A857" s="1" t="s">
        <v>138</v>
      </c>
      <c r="B857" s="1" t="s">
        <v>16</v>
      </c>
      <c r="C857" s="1" t="s">
        <v>46</v>
      </c>
      <c r="D857" s="1" t="s">
        <v>41</v>
      </c>
      <c r="E857" s="1">
        <v>340.08700800000003</v>
      </c>
      <c r="F857" s="1">
        <v>5</v>
      </c>
      <c r="G857" s="1">
        <v>18</v>
      </c>
      <c r="H857" s="1">
        <v>68.017402000000004</v>
      </c>
      <c r="I857" s="1">
        <v>0.27777800000000002</v>
      </c>
      <c r="J857" s="1">
        <v>18893.722669999999</v>
      </c>
      <c r="K857" s="1">
        <v>0</v>
      </c>
      <c r="L857" s="1">
        <v>0</v>
      </c>
      <c r="M857" s="1" t="s">
        <v>19</v>
      </c>
      <c r="N857" s="1" t="s">
        <v>69</v>
      </c>
      <c r="O857" s="1" t="s">
        <v>69</v>
      </c>
      <c r="P857" s="2">
        <f t="shared" si="26"/>
        <v>0</v>
      </c>
      <c r="Q857" s="2">
        <f t="shared" si="27"/>
        <v>0</v>
      </c>
    </row>
    <row r="858" spans="1:17" ht="12.5" x14ac:dyDescent="0.25">
      <c r="A858" s="1" t="s">
        <v>122</v>
      </c>
      <c r="B858" s="1" t="s">
        <v>16</v>
      </c>
      <c r="C858" s="1" t="s">
        <v>46</v>
      </c>
      <c r="D858" s="1" t="s">
        <v>41</v>
      </c>
      <c r="E858" s="1">
        <v>9.06</v>
      </c>
      <c r="F858" s="1">
        <v>7</v>
      </c>
      <c r="G858" s="1">
        <v>17</v>
      </c>
      <c r="H858" s="1">
        <v>1.294286</v>
      </c>
      <c r="I858" s="1">
        <v>0.41176499999999999</v>
      </c>
      <c r="J858" s="1">
        <v>532.94117600000004</v>
      </c>
      <c r="K858" s="1">
        <v>0</v>
      </c>
      <c r="L858" s="1">
        <v>0</v>
      </c>
      <c r="M858" s="1" t="s">
        <v>19</v>
      </c>
      <c r="N858" s="1" t="s">
        <v>69</v>
      </c>
      <c r="O858" s="1" t="s">
        <v>69</v>
      </c>
      <c r="P858" s="2">
        <f t="shared" si="26"/>
        <v>0</v>
      </c>
      <c r="Q858" s="2">
        <f t="shared" si="27"/>
        <v>0</v>
      </c>
    </row>
    <row r="859" spans="1:17" ht="12.5" x14ac:dyDescent="0.25">
      <c r="A859" s="1" t="s">
        <v>123</v>
      </c>
      <c r="B859" s="1" t="s">
        <v>16</v>
      </c>
      <c r="C859" s="1" t="s">
        <v>46</v>
      </c>
      <c r="D859" s="1" t="s">
        <v>41</v>
      </c>
      <c r="E859" s="1">
        <v>57.28</v>
      </c>
      <c r="F859" s="1">
        <v>2</v>
      </c>
      <c r="G859" s="1">
        <v>9</v>
      </c>
      <c r="H859" s="1">
        <v>28.64</v>
      </c>
      <c r="I859" s="1">
        <v>0.222222</v>
      </c>
      <c r="J859" s="1">
        <v>6364.4444439999997</v>
      </c>
      <c r="K859" s="1">
        <v>0</v>
      </c>
      <c r="L859" s="1">
        <v>0</v>
      </c>
      <c r="M859" s="1" t="s">
        <v>19</v>
      </c>
      <c r="N859" s="1" t="s">
        <v>69</v>
      </c>
      <c r="O859" s="1" t="s">
        <v>69</v>
      </c>
      <c r="P859" s="2">
        <f t="shared" si="26"/>
        <v>0</v>
      </c>
      <c r="Q859" s="2">
        <f t="shared" si="27"/>
        <v>0</v>
      </c>
    </row>
    <row r="860" spans="1:17" ht="12.5" x14ac:dyDescent="0.25">
      <c r="A860" s="1" t="s">
        <v>124</v>
      </c>
      <c r="B860" s="1" t="s">
        <v>16</v>
      </c>
      <c r="C860" s="1" t="s">
        <v>46</v>
      </c>
      <c r="D860" s="1" t="s">
        <v>41</v>
      </c>
      <c r="E860" s="1">
        <v>322.45999999999998</v>
      </c>
      <c r="F860" s="1">
        <v>6</v>
      </c>
      <c r="G860" s="1">
        <v>19</v>
      </c>
      <c r="H860" s="1">
        <v>53.743333</v>
      </c>
      <c r="I860" s="1">
        <v>0.31578899999999999</v>
      </c>
      <c r="J860" s="1">
        <v>16971.578949999999</v>
      </c>
      <c r="K860" s="1">
        <v>0</v>
      </c>
      <c r="L860" s="1">
        <v>0</v>
      </c>
      <c r="M860" s="1" t="s">
        <v>19</v>
      </c>
      <c r="N860" s="1" t="s">
        <v>69</v>
      </c>
      <c r="O860" s="1" t="s">
        <v>69</v>
      </c>
      <c r="P860" s="2">
        <f t="shared" si="26"/>
        <v>0</v>
      </c>
      <c r="Q860" s="2">
        <f t="shared" si="27"/>
        <v>0</v>
      </c>
    </row>
    <row r="861" spans="1:17" ht="12.5" x14ac:dyDescent="0.25">
      <c r="A861" s="1" t="s">
        <v>125</v>
      </c>
      <c r="B861" s="1" t="s">
        <v>16</v>
      </c>
      <c r="C861" s="1" t="s">
        <v>46</v>
      </c>
      <c r="D861" s="1" t="s">
        <v>41</v>
      </c>
      <c r="E861" s="1">
        <v>79.598557</v>
      </c>
      <c r="F861" s="1">
        <v>6</v>
      </c>
      <c r="G861" s="1">
        <v>21</v>
      </c>
      <c r="H861" s="1">
        <v>13.266425999999999</v>
      </c>
      <c r="I861" s="1">
        <v>0.28571400000000002</v>
      </c>
      <c r="J861" s="1">
        <v>3790.4074759999999</v>
      </c>
      <c r="K861" s="1">
        <v>0</v>
      </c>
      <c r="L861" s="1">
        <v>0</v>
      </c>
      <c r="M861" s="1" t="s">
        <v>19</v>
      </c>
      <c r="N861" s="1" t="s">
        <v>69</v>
      </c>
      <c r="O861" s="1" t="s">
        <v>69</v>
      </c>
      <c r="P861" s="2">
        <f t="shared" si="26"/>
        <v>0</v>
      </c>
      <c r="Q861" s="2">
        <f t="shared" si="27"/>
        <v>0</v>
      </c>
    </row>
    <row r="862" spans="1:17" ht="12.5" x14ac:dyDescent="0.25">
      <c r="A862" s="1" t="s">
        <v>126</v>
      </c>
      <c r="B862" s="1" t="s">
        <v>16</v>
      </c>
      <c r="C862" s="1" t="s">
        <v>46</v>
      </c>
      <c r="D862" s="1" t="s">
        <v>41</v>
      </c>
      <c r="E862" s="1">
        <v>50.53</v>
      </c>
      <c r="F862" s="1">
        <v>4</v>
      </c>
      <c r="G862" s="1">
        <v>10</v>
      </c>
      <c r="H862" s="1">
        <v>12.6325</v>
      </c>
      <c r="I862" s="1">
        <v>0.4</v>
      </c>
      <c r="J862" s="1">
        <v>5053</v>
      </c>
      <c r="K862" s="1">
        <v>0</v>
      </c>
      <c r="L862" s="1">
        <v>0</v>
      </c>
      <c r="M862" s="1" t="s">
        <v>19</v>
      </c>
      <c r="N862" s="1" t="s">
        <v>69</v>
      </c>
      <c r="O862" s="1" t="s">
        <v>69</v>
      </c>
      <c r="P862" s="2">
        <f t="shared" si="26"/>
        <v>0</v>
      </c>
      <c r="Q862" s="2">
        <f t="shared" si="27"/>
        <v>0</v>
      </c>
    </row>
    <row r="863" spans="1:17" ht="12.5" x14ac:dyDescent="0.25">
      <c r="A863" s="1" t="s">
        <v>127</v>
      </c>
      <c r="B863" s="1" t="s">
        <v>16</v>
      </c>
      <c r="C863" s="1" t="s">
        <v>46</v>
      </c>
      <c r="D863" s="1" t="s">
        <v>41</v>
      </c>
      <c r="E863" s="1">
        <v>348.54</v>
      </c>
      <c r="F863" s="1">
        <v>3</v>
      </c>
      <c r="G863" s="1">
        <v>18</v>
      </c>
      <c r="H863" s="1">
        <v>116.18</v>
      </c>
      <c r="I863" s="1">
        <v>0.16666700000000001</v>
      </c>
      <c r="J863" s="1">
        <v>19363.333330000001</v>
      </c>
      <c r="K863" s="1">
        <v>0</v>
      </c>
      <c r="L863" s="1">
        <v>0</v>
      </c>
      <c r="M863" s="1" t="s">
        <v>19</v>
      </c>
      <c r="N863" s="1" t="s">
        <v>69</v>
      </c>
      <c r="O863" s="1" t="s">
        <v>69</v>
      </c>
      <c r="P863" s="2">
        <f t="shared" si="26"/>
        <v>0</v>
      </c>
      <c r="Q863" s="2">
        <f t="shared" si="27"/>
        <v>0</v>
      </c>
    </row>
    <row r="864" spans="1:17" ht="12.5" x14ac:dyDescent="0.25">
      <c r="A864" s="1" t="s">
        <v>128</v>
      </c>
      <c r="B864" s="1" t="s">
        <v>16</v>
      </c>
      <c r="C864" s="1" t="s">
        <v>46</v>
      </c>
      <c r="D864" s="1" t="s">
        <v>41</v>
      </c>
      <c r="E864" s="1">
        <v>91.449838999999997</v>
      </c>
      <c r="F864" s="1">
        <v>5</v>
      </c>
      <c r="G864" s="1">
        <v>9</v>
      </c>
      <c r="H864" s="1">
        <v>18.289967999999998</v>
      </c>
      <c r="I864" s="1">
        <v>0.55555600000000005</v>
      </c>
      <c r="J864" s="1">
        <v>10161.093220000001</v>
      </c>
      <c r="K864" s="1">
        <v>0</v>
      </c>
      <c r="L864" s="1">
        <v>0</v>
      </c>
      <c r="M864" s="1" t="s">
        <v>19</v>
      </c>
      <c r="N864" s="1" t="s">
        <v>69</v>
      </c>
      <c r="O864" s="1" t="s">
        <v>69</v>
      </c>
      <c r="P864" s="2">
        <f t="shared" si="26"/>
        <v>0</v>
      </c>
      <c r="Q864" s="2">
        <f t="shared" si="27"/>
        <v>0</v>
      </c>
    </row>
    <row r="865" spans="1:17" ht="12.5" x14ac:dyDescent="0.25">
      <c r="A865" s="1" t="s">
        <v>129</v>
      </c>
      <c r="B865" s="1" t="s">
        <v>16</v>
      </c>
      <c r="C865" s="1" t="s">
        <v>46</v>
      </c>
      <c r="D865" s="1" t="s">
        <v>41</v>
      </c>
      <c r="E865" s="1">
        <v>12.840979000000001</v>
      </c>
      <c r="F865" s="1">
        <v>3</v>
      </c>
      <c r="G865" s="1">
        <v>5</v>
      </c>
      <c r="H865" s="1">
        <v>4.2803259999999996</v>
      </c>
      <c r="I865" s="1">
        <v>0.6</v>
      </c>
      <c r="J865" s="1">
        <v>2568.1958</v>
      </c>
      <c r="K865" s="1">
        <v>0</v>
      </c>
      <c r="L865" s="1">
        <v>0</v>
      </c>
      <c r="M865" s="1" t="s">
        <v>19</v>
      </c>
      <c r="N865" s="1" t="s">
        <v>69</v>
      </c>
      <c r="O865" s="1" t="s">
        <v>69</v>
      </c>
      <c r="P865" s="2">
        <f t="shared" si="26"/>
        <v>0</v>
      </c>
      <c r="Q865" s="2">
        <f t="shared" si="27"/>
        <v>0</v>
      </c>
    </row>
    <row r="866" spans="1:17" ht="12.5" x14ac:dyDescent="0.25">
      <c r="A866" s="1" t="s">
        <v>130</v>
      </c>
      <c r="B866" s="1" t="s">
        <v>16</v>
      </c>
      <c r="C866" s="1" t="s">
        <v>46</v>
      </c>
      <c r="D866" s="1" t="s">
        <v>41</v>
      </c>
      <c r="E866" s="1">
        <v>15.43</v>
      </c>
      <c r="F866" s="1">
        <v>3</v>
      </c>
      <c r="G866" s="1">
        <v>5</v>
      </c>
      <c r="H866" s="1">
        <v>5.1433330000000002</v>
      </c>
      <c r="I866" s="1">
        <v>0.6</v>
      </c>
      <c r="J866" s="1">
        <v>3086</v>
      </c>
      <c r="K866" s="1">
        <v>0</v>
      </c>
      <c r="L866" s="1">
        <v>0</v>
      </c>
      <c r="M866" s="1" t="s">
        <v>19</v>
      </c>
      <c r="N866" s="1" t="s">
        <v>69</v>
      </c>
      <c r="O866" s="1" t="s">
        <v>69</v>
      </c>
      <c r="P866" s="2">
        <f t="shared" si="26"/>
        <v>0</v>
      </c>
      <c r="Q866" s="2">
        <f t="shared" si="27"/>
        <v>0</v>
      </c>
    </row>
    <row r="867" spans="1:17" ht="12.5" x14ac:dyDescent="0.25">
      <c r="A867" s="1" t="s">
        <v>131</v>
      </c>
      <c r="B867" s="1" t="s">
        <v>16</v>
      </c>
      <c r="C867" s="1" t="s">
        <v>46</v>
      </c>
      <c r="D867" s="1" t="s">
        <v>41</v>
      </c>
      <c r="E867" s="1">
        <v>29.28548</v>
      </c>
      <c r="F867" s="1">
        <v>6</v>
      </c>
      <c r="G867" s="1">
        <v>10</v>
      </c>
      <c r="H867" s="1">
        <v>4.8809129999999996</v>
      </c>
      <c r="I867" s="1">
        <v>0.6</v>
      </c>
      <c r="J867" s="1">
        <v>2928.5479999999998</v>
      </c>
      <c r="K867" s="1">
        <v>0</v>
      </c>
      <c r="L867" s="1">
        <v>0</v>
      </c>
      <c r="M867" s="1" t="s">
        <v>19</v>
      </c>
      <c r="N867" s="1" t="s">
        <v>69</v>
      </c>
      <c r="O867" s="1" t="s">
        <v>69</v>
      </c>
      <c r="P867" s="2">
        <f t="shared" si="26"/>
        <v>0</v>
      </c>
      <c r="Q867" s="2">
        <f t="shared" si="27"/>
        <v>0</v>
      </c>
    </row>
    <row r="868" spans="1:17" ht="12.5" x14ac:dyDescent="0.25">
      <c r="A868" s="1" t="s">
        <v>132</v>
      </c>
      <c r="B868" s="1" t="s">
        <v>16</v>
      </c>
      <c r="C868" s="1" t="s">
        <v>46</v>
      </c>
      <c r="D868" s="1" t="s">
        <v>41</v>
      </c>
      <c r="E868" s="1">
        <v>66.093012999999999</v>
      </c>
      <c r="F868" s="1">
        <v>7</v>
      </c>
      <c r="G868" s="1">
        <v>12</v>
      </c>
      <c r="H868" s="1">
        <v>9.4418589999999991</v>
      </c>
      <c r="I868" s="1">
        <v>0.58333299999999999</v>
      </c>
      <c r="J868" s="1">
        <v>5507.7510830000001</v>
      </c>
      <c r="K868" s="1">
        <v>0</v>
      </c>
      <c r="L868" s="1">
        <v>0</v>
      </c>
      <c r="M868" s="1" t="s">
        <v>19</v>
      </c>
      <c r="N868" s="1" t="s">
        <v>69</v>
      </c>
      <c r="O868" s="1" t="s">
        <v>69</v>
      </c>
      <c r="P868" s="2">
        <f t="shared" si="26"/>
        <v>0</v>
      </c>
      <c r="Q868" s="2">
        <f t="shared" si="27"/>
        <v>0</v>
      </c>
    </row>
    <row r="869" spans="1:17" ht="12.5" x14ac:dyDescent="0.25">
      <c r="A869" s="1" t="s">
        <v>133</v>
      </c>
      <c r="B869" s="1" t="s">
        <v>16</v>
      </c>
      <c r="C869" s="1" t="s">
        <v>46</v>
      </c>
      <c r="D869" s="1" t="s">
        <v>41</v>
      </c>
      <c r="E869" s="1">
        <v>35.99</v>
      </c>
      <c r="F869" s="1">
        <v>3</v>
      </c>
      <c r="G869" s="1">
        <v>5</v>
      </c>
      <c r="H869" s="1">
        <v>11.996667</v>
      </c>
      <c r="I869" s="1">
        <v>0.6</v>
      </c>
      <c r="J869" s="1">
        <v>7198</v>
      </c>
      <c r="K869" s="1">
        <v>0</v>
      </c>
      <c r="L869" s="1">
        <v>0</v>
      </c>
      <c r="M869" s="1" t="s">
        <v>19</v>
      </c>
      <c r="N869" s="1" t="s">
        <v>69</v>
      </c>
      <c r="O869" s="1" t="s">
        <v>69</v>
      </c>
      <c r="P869" s="2">
        <f t="shared" si="26"/>
        <v>0</v>
      </c>
      <c r="Q869" s="2">
        <f t="shared" si="27"/>
        <v>0</v>
      </c>
    </row>
    <row r="870" spans="1:17" ht="12.5" x14ac:dyDescent="0.25">
      <c r="A870" s="1" t="s">
        <v>134</v>
      </c>
      <c r="B870" s="1" t="s">
        <v>16</v>
      </c>
      <c r="C870" s="1" t="s">
        <v>46</v>
      </c>
      <c r="D870" s="1" t="s">
        <v>41</v>
      </c>
      <c r="E870" s="1">
        <v>11.47</v>
      </c>
      <c r="F870" s="1">
        <v>3</v>
      </c>
      <c r="G870" s="1">
        <v>6</v>
      </c>
      <c r="H870" s="1">
        <v>3.8233329999999999</v>
      </c>
      <c r="I870" s="1">
        <v>0.5</v>
      </c>
      <c r="J870" s="1">
        <v>1911.666667</v>
      </c>
      <c r="K870" s="1">
        <v>0</v>
      </c>
      <c r="L870" s="1">
        <v>0</v>
      </c>
      <c r="M870" s="1" t="s">
        <v>19</v>
      </c>
      <c r="N870" s="1" t="s">
        <v>69</v>
      </c>
      <c r="O870" s="1" t="s">
        <v>69</v>
      </c>
      <c r="P870" s="2">
        <f t="shared" si="26"/>
        <v>0</v>
      </c>
      <c r="Q870" s="2">
        <f t="shared" si="27"/>
        <v>0</v>
      </c>
    </row>
    <row r="871" spans="1:17" ht="12.5" x14ac:dyDescent="0.25">
      <c r="A871" s="1" t="s">
        <v>135</v>
      </c>
      <c r="B871" s="1" t="s">
        <v>16</v>
      </c>
      <c r="C871" s="1" t="s">
        <v>46</v>
      </c>
      <c r="D871" s="1" t="s">
        <v>41</v>
      </c>
      <c r="E871" s="1">
        <v>45.090318000000003</v>
      </c>
      <c r="F871" s="1">
        <v>5</v>
      </c>
      <c r="G871" s="1">
        <v>14</v>
      </c>
      <c r="H871" s="1">
        <v>9.0180640000000007</v>
      </c>
      <c r="I871" s="1">
        <v>0.35714299999999999</v>
      </c>
      <c r="J871" s="1">
        <v>3220.7370000000001</v>
      </c>
      <c r="K871" s="1">
        <v>0</v>
      </c>
      <c r="L871" s="1">
        <v>0</v>
      </c>
      <c r="M871" s="1" t="s">
        <v>19</v>
      </c>
      <c r="N871" s="1" t="s">
        <v>69</v>
      </c>
      <c r="O871" s="1" t="s">
        <v>69</v>
      </c>
      <c r="P871" s="2">
        <f t="shared" si="26"/>
        <v>0</v>
      </c>
      <c r="Q871" s="2">
        <f t="shared" si="27"/>
        <v>0</v>
      </c>
    </row>
    <row r="872" spans="1:17" ht="12.5" x14ac:dyDescent="0.25">
      <c r="A872" s="1" t="s">
        <v>136</v>
      </c>
      <c r="B872" s="1" t="s">
        <v>16</v>
      </c>
      <c r="C872" s="1" t="s">
        <v>46</v>
      </c>
      <c r="D872" s="1" t="s">
        <v>41</v>
      </c>
      <c r="E872" s="1">
        <v>2.56</v>
      </c>
      <c r="F872" s="1">
        <v>1</v>
      </c>
      <c r="G872" s="1">
        <v>2</v>
      </c>
      <c r="H872" s="1">
        <v>2.56</v>
      </c>
      <c r="I872" s="1">
        <v>0.5</v>
      </c>
      <c r="J872" s="1">
        <v>1280</v>
      </c>
      <c r="K872" s="1">
        <v>0</v>
      </c>
      <c r="L872" s="1">
        <v>0</v>
      </c>
      <c r="M872" s="1" t="s">
        <v>19</v>
      </c>
      <c r="N872" s="1" t="s">
        <v>69</v>
      </c>
      <c r="O872" s="1" t="s">
        <v>69</v>
      </c>
      <c r="P872" s="2">
        <f t="shared" si="26"/>
        <v>0</v>
      </c>
      <c r="Q872" s="2">
        <f t="shared" si="27"/>
        <v>0</v>
      </c>
    </row>
    <row r="873" spans="1:17" ht="12.5" x14ac:dyDescent="0.25">
      <c r="A873" s="3">
        <v>46029</v>
      </c>
      <c r="B873" s="1" t="s">
        <v>16</v>
      </c>
      <c r="C873" s="1" t="s">
        <v>56</v>
      </c>
      <c r="D873" s="1" t="s">
        <v>41</v>
      </c>
      <c r="E873" s="1">
        <v>176.99</v>
      </c>
      <c r="F873" s="1">
        <v>8</v>
      </c>
      <c r="G873" s="1">
        <v>593</v>
      </c>
      <c r="H873" s="1">
        <v>22.123750000000001</v>
      </c>
      <c r="I873" s="1">
        <v>1.3491E-2</v>
      </c>
      <c r="J873" s="1">
        <v>298.46543000000003</v>
      </c>
      <c r="K873" s="1">
        <v>0</v>
      </c>
      <c r="L873" s="1">
        <v>0</v>
      </c>
      <c r="M873" s="1" t="s">
        <v>19</v>
      </c>
      <c r="N873" s="1" t="s">
        <v>69</v>
      </c>
      <c r="O873" s="1" t="s">
        <v>69</v>
      </c>
      <c r="P873" s="2">
        <f t="shared" si="26"/>
        <v>0</v>
      </c>
      <c r="Q873" s="2">
        <f t="shared" si="27"/>
        <v>0</v>
      </c>
    </row>
    <row r="874" spans="1:17" ht="12.5" x14ac:dyDescent="0.25">
      <c r="A874" s="3">
        <v>46119</v>
      </c>
      <c r="B874" s="1" t="s">
        <v>16</v>
      </c>
      <c r="C874" s="1" t="s">
        <v>56</v>
      </c>
      <c r="D874" s="1" t="s">
        <v>41</v>
      </c>
      <c r="E874" s="1">
        <v>97.17</v>
      </c>
      <c r="F874" s="1">
        <v>4</v>
      </c>
      <c r="G874" s="1">
        <v>781</v>
      </c>
      <c r="H874" s="1">
        <v>24.2925</v>
      </c>
      <c r="I874" s="1">
        <v>5.1219999999999998E-3</v>
      </c>
      <c r="J874" s="1">
        <v>124.41741399999999</v>
      </c>
      <c r="K874" s="1">
        <v>0</v>
      </c>
      <c r="L874" s="1">
        <v>0</v>
      </c>
      <c r="M874" s="1" t="s">
        <v>19</v>
      </c>
      <c r="N874" s="1" t="s">
        <v>69</v>
      </c>
      <c r="O874" s="1" t="s">
        <v>69</v>
      </c>
      <c r="P874" s="2">
        <f t="shared" si="26"/>
        <v>0</v>
      </c>
      <c r="Q874" s="2">
        <f t="shared" si="27"/>
        <v>0</v>
      </c>
    </row>
    <row r="875" spans="1:17" ht="12.5" x14ac:dyDescent="0.25">
      <c r="A875" s="3">
        <v>46149</v>
      </c>
      <c r="B875" s="1" t="s">
        <v>16</v>
      </c>
      <c r="C875" s="1" t="s">
        <v>56</v>
      </c>
      <c r="D875" s="1" t="s">
        <v>41</v>
      </c>
      <c r="E875" s="1">
        <v>28.97</v>
      </c>
      <c r="F875" s="1">
        <v>2</v>
      </c>
      <c r="G875" s="1">
        <v>560</v>
      </c>
      <c r="H875" s="1">
        <v>14.484999999999999</v>
      </c>
      <c r="I875" s="1">
        <v>3.571E-3</v>
      </c>
      <c r="J875" s="1">
        <v>51.732143000000001</v>
      </c>
      <c r="K875" s="1">
        <v>0</v>
      </c>
      <c r="L875" s="1">
        <v>0</v>
      </c>
      <c r="M875" s="1" t="s">
        <v>19</v>
      </c>
      <c r="N875" s="1" t="s">
        <v>69</v>
      </c>
      <c r="O875" s="1" t="s">
        <v>69</v>
      </c>
      <c r="P875" s="2">
        <f t="shared" si="26"/>
        <v>0</v>
      </c>
      <c r="Q875" s="2">
        <f t="shared" si="27"/>
        <v>0</v>
      </c>
    </row>
    <row r="876" spans="1:17" ht="12.5" x14ac:dyDescent="0.25">
      <c r="A876" s="3">
        <v>46180</v>
      </c>
      <c r="B876" s="1" t="s">
        <v>16</v>
      </c>
      <c r="C876" s="1" t="s">
        <v>56</v>
      </c>
      <c r="D876" s="1" t="s">
        <v>41</v>
      </c>
      <c r="E876" s="1">
        <v>113.59</v>
      </c>
      <c r="F876" s="1">
        <v>5</v>
      </c>
      <c r="G876" s="1">
        <v>292</v>
      </c>
      <c r="H876" s="1">
        <v>22.718</v>
      </c>
      <c r="I876" s="1">
        <v>1.7122999999999999E-2</v>
      </c>
      <c r="J876" s="1">
        <v>389.00684899999999</v>
      </c>
      <c r="K876" s="1">
        <v>0</v>
      </c>
      <c r="L876" s="1">
        <v>0</v>
      </c>
      <c r="M876" s="1" t="s">
        <v>19</v>
      </c>
      <c r="N876" s="1" t="s">
        <v>69</v>
      </c>
      <c r="O876" s="1" t="s">
        <v>69</v>
      </c>
      <c r="P876" s="2">
        <f t="shared" si="26"/>
        <v>0</v>
      </c>
      <c r="Q876" s="2">
        <f t="shared" si="27"/>
        <v>0</v>
      </c>
    </row>
    <row r="877" spans="1:17" ht="12.5" x14ac:dyDescent="0.25">
      <c r="A877" s="3">
        <v>46210</v>
      </c>
      <c r="B877" s="1" t="s">
        <v>16</v>
      </c>
      <c r="C877" s="1" t="s">
        <v>56</v>
      </c>
      <c r="D877" s="1" t="s">
        <v>41</v>
      </c>
      <c r="E877" s="1">
        <v>10.029999999999999</v>
      </c>
      <c r="F877" s="1">
        <v>1</v>
      </c>
      <c r="G877" s="1">
        <v>105</v>
      </c>
      <c r="H877" s="1">
        <v>10.029999999999999</v>
      </c>
      <c r="I877" s="1">
        <v>9.5239999999999995E-3</v>
      </c>
      <c r="J877" s="1">
        <v>95.523809999999997</v>
      </c>
      <c r="K877" s="1">
        <v>0</v>
      </c>
      <c r="L877" s="1">
        <v>0</v>
      </c>
      <c r="M877" s="1" t="s">
        <v>19</v>
      </c>
      <c r="N877" s="1" t="s">
        <v>69</v>
      </c>
      <c r="O877" s="1" t="s">
        <v>69</v>
      </c>
      <c r="P877" s="2">
        <f t="shared" si="26"/>
        <v>0</v>
      </c>
      <c r="Q877" s="2">
        <f t="shared" si="27"/>
        <v>0</v>
      </c>
    </row>
    <row r="878" spans="1:17" ht="12.5" x14ac:dyDescent="0.25">
      <c r="A878" s="3">
        <v>46241</v>
      </c>
      <c r="B878" s="1" t="s">
        <v>16</v>
      </c>
      <c r="C878" s="1" t="s">
        <v>56</v>
      </c>
      <c r="D878" s="1" t="s">
        <v>41</v>
      </c>
      <c r="E878" s="1">
        <v>12.32</v>
      </c>
      <c r="F878" s="1">
        <v>2</v>
      </c>
      <c r="G878" s="1">
        <v>67</v>
      </c>
      <c r="H878" s="1">
        <v>6.16</v>
      </c>
      <c r="I878" s="1">
        <v>2.9850999999999999E-2</v>
      </c>
      <c r="J878" s="1">
        <v>183.88059699999999</v>
      </c>
      <c r="K878" s="1">
        <v>0</v>
      </c>
      <c r="L878" s="1">
        <v>0</v>
      </c>
      <c r="M878" s="1" t="s">
        <v>19</v>
      </c>
      <c r="N878" s="1" t="s">
        <v>69</v>
      </c>
      <c r="O878" s="1" t="s">
        <v>69</v>
      </c>
      <c r="P878" s="2">
        <f t="shared" si="26"/>
        <v>0</v>
      </c>
      <c r="Q878" s="2">
        <f t="shared" si="27"/>
        <v>0</v>
      </c>
    </row>
    <row r="879" spans="1:17" ht="12.5" x14ac:dyDescent="0.25">
      <c r="A879" s="3">
        <v>46272</v>
      </c>
      <c r="B879" s="1" t="s">
        <v>16</v>
      </c>
      <c r="C879" s="1" t="s">
        <v>56</v>
      </c>
      <c r="D879" s="1" t="s">
        <v>41</v>
      </c>
      <c r="E879" s="1">
        <v>39.89</v>
      </c>
      <c r="F879" s="1">
        <v>3</v>
      </c>
      <c r="G879" s="1">
        <v>225</v>
      </c>
      <c r="H879" s="1">
        <v>13.296666999999999</v>
      </c>
      <c r="I879" s="1">
        <v>1.3332999999999999E-2</v>
      </c>
      <c r="J879" s="1">
        <v>177.28888900000001</v>
      </c>
      <c r="K879" s="1">
        <v>0</v>
      </c>
      <c r="L879" s="1">
        <v>0</v>
      </c>
      <c r="M879" s="1" t="s">
        <v>19</v>
      </c>
      <c r="N879" s="1" t="s">
        <v>69</v>
      </c>
      <c r="O879" s="1" t="s">
        <v>69</v>
      </c>
      <c r="P879" s="2">
        <f t="shared" si="26"/>
        <v>0</v>
      </c>
      <c r="Q879" s="2">
        <f t="shared" si="27"/>
        <v>0</v>
      </c>
    </row>
    <row r="880" spans="1:17" ht="12.5" x14ac:dyDescent="0.25">
      <c r="A880" s="3">
        <v>46302</v>
      </c>
      <c r="B880" s="1" t="s">
        <v>16</v>
      </c>
      <c r="C880" s="1" t="s">
        <v>56</v>
      </c>
      <c r="D880" s="1" t="s">
        <v>41</v>
      </c>
      <c r="E880" s="1">
        <v>104.91</v>
      </c>
      <c r="F880" s="1">
        <v>4</v>
      </c>
      <c r="G880" s="1">
        <v>231</v>
      </c>
      <c r="H880" s="1">
        <v>26.227499999999999</v>
      </c>
      <c r="I880" s="1">
        <v>1.7316000000000002E-2</v>
      </c>
      <c r="J880" s="1">
        <v>454.155844</v>
      </c>
      <c r="K880" s="1">
        <v>0</v>
      </c>
      <c r="L880" s="1">
        <v>0</v>
      </c>
      <c r="M880" s="1" t="s">
        <v>19</v>
      </c>
      <c r="N880" s="1" t="s">
        <v>69</v>
      </c>
      <c r="O880" s="1" t="s">
        <v>69</v>
      </c>
      <c r="P880" s="2">
        <f t="shared" si="26"/>
        <v>0</v>
      </c>
      <c r="Q880" s="2">
        <f t="shared" si="27"/>
        <v>0</v>
      </c>
    </row>
    <row r="881" spans="1:17" ht="12.5" x14ac:dyDescent="0.25">
      <c r="A881" s="3">
        <v>46333</v>
      </c>
      <c r="B881" s="1" t="s">
        <v>16</v>
      </c>
      <c r="C881" s="1" t="s">
        <v>56</v>
      </c>
      <c r="D881" s="1" t="s">
        <v>41</v>
      </c>
      <c r="E881" s="1">
        <v>24.88</v>
      </c>
      <c r="F881" s="1">
        <v>2</v>
      </c>
      <c r="G881" s="1">
        <v>301</v>
      </c>
      <c r="H881" s="1">
        <v>12.44</v>
      </c>
      <c r="I881" s="1">
        <v>6.6449999999999999E-3</v>
      </c>
      <c r="J881" s="1">
        <v>82.657807000000005</v>
      </c>
      <c r="K881" s="1">
        <v>0</v>
      </c>
      <c r="L881" s="1">
        <v>0</v>
      </c>
      <c r="M881" s="1" t="s">
        <v>19</v>
      </c>
      <c r="N881" s="1" t="s">
        <v>69</v>
      </c>
      <c r="O881" s="1" t="s">
        <v>69</v>
      </c>
      <c r="P881" s="2">
        <f t="shared" si="26"/>
        <v>0</v>
      </c>
      <c r="Q881" s="2">
        <f t="shared" si="27"/>
        <v>0</v>
      </c>
    </row>
    <row r="882" spans="1:17" ht="12.5" x14ac:dyDescent="0.25">
      <c r="A882" s="1" t="s">
        <v>138</v>
      </c>
      <c r="B882" s="1" t="s">
        <v>16</v>
      </c>
      <c r="C882" s="1" t="s">
        <v>56</v>
      </c>
      <c r="D882" s="1" t="s">
        <v>41</v>
      </c>
      <c r="E882" s="1">
        <v>46.61</v>
      </c>
      <c r="F882" s="1">
        <v>2</v>
      </c>
      <c r="G882" s="1">
        <v>156</v>
      </c>
      <c r="H882" s="1">
        <v>23.305</v>
      </c>
      <c r="I882" s="1">
        <v>1.2821000000000001E-2</v>
      </c>
      <c r="J882" s="1">
        <v>298.78205100000002</v>
      </c>
      <c r="K882" s="1">
        <v>0</v>
      </c>
      <c r="L882" s="1">
        <v>0</v>
      </c>
      <c r="M882" s="1" t="s">
        <v>19</v>
      </c>
      <c r="N882" s="1" t="s">
        <v>69</v>
      </c>
      <c r="O882" s="1" t="s">
        <v>69</v>
      </c>
      <c r="P882" s="2">
        <f t="shared" si="26"/>
        <v>0</v>
      </c>
      <c r="Q882" s="2">
        <f t="shared" si="27"/>
        <v>0</v>
      </c>
    </row>
    <row r="883" spans="1:17" ht="12.5" x14ac:dyDescent="0.25">
      <c r="A883" s="1" t="s">
        <v>122</v>
      </c>
      <c r="B883" s="1" t="s">
        <v>16</v>
      </c>
      <c r="C883" s="1" t="s">
        <v>56</v>
      </c>
      <c r="D883" s="1" t="s">
        <v>41</v>
      </c>
      <c r="E883" s="1">
        <v>86.273572999999999</v>
      </c>
      <c r="F883" s="1">
        <v>2</v>
      </c>
      <c r="G883" s="1">
        <v>389</v>
      </c>
      <c r="H883" s="1">
        <v>43.136786999999998</v>
      </c>
      <c r="I883" s="1">
        <v>5.1409999999999997E-3</v>
      </c>
      <c r="J883" s="1">
        <v>221.78296399999999</v>
      </c>
      <c r="K883" s="1">
        <v>0</v>
      </c>
      <c r="L883" s="1">
        <v>0</v>
      </c>
      <c r="M883" s="1" t="s">
        <v>19</v>
      </c>
      <c r="N883" s="1" t="s">
        <v>69</v>
      </c>
      <c r="O883" s="1" t="s">
        <v>69</v>
      </c>
      <c r="P883" s="2">
        <f t="shared" si="26"/>
        <v>0</v>
      </c>
      <c r="Q883" s="2">
        <f t="shared" si="27"/>
        <v>0</v>
      </c>
    </row>
    <row r="884" spans="1:17" ht="12.5" x14ac:dyDescent="0.25">
      <c r="A884" s="1" t="s">
        <v>123</v>
      </c>
      <c r="B884" s="1" t="s">
        <v>16</v>
      </c>
      <c r="C884" s="1" t="s">
        <v>56</v>
      </c>
      <c r="D884" s="1" t="s">
        <v>41</v>
      </c>
      <c r="E884" s="1">
        <v>48.161259000000001</v>
      </c>
      <c r="F884" s="1">
        <v>4</v>
      </c>
      <c r="G884" s="1">
        <v>273</v>
      </c>
      <c r="H884" s="1">
        <v>12.040315</v>
      </c>
      <c r="I884" s="1">
        <v>1.4652E-2</v>
      </c>
      <c r="J884" s="1">
        <v>176.41486800000001</v>
      </c>
      <c r="K884" s="1">
        <v>0</v>
      </c>
      <c r="L884" s="1">
        <v>0</v>
      </c>
      <c r="M884" s="1" t="s">
        <v>19</v>
      </c>
      <c r="N884" s="1" t="s">
        <v>69</v>
      </c>
      <c r="O884" s="1" t="s">
        <v>69</v>
      </c>
      <c r="P884" s="2">
        <f t="shared" si="26"/>
        <v>0</v>
      </c>
      <c r="Q884" s="2">
        <f t="shared" si="27"/>
        <v>0</v>
      </c>
    </row>
    <row r="885" spans="1:17" ht="12.5" x14ac:dyDescent="0.25">
      <c r="A885" s="1" t="s">
        <v>124</v>
      </c>
      <c r="B885" s="1" t="s">
        <v>16</v>
      </c>
      <c r="C885" s="1" t="s">
        <v>56</v>
      </c>
      <c r="D885" s="1" t="s">
        <v>41</v>
      </c>
      <c r="E885" s="1">
        <v>103.52</v>
      </c>
      <c r="F885" s="1">
        <v>7</v>
      </c>
      <c r="G885" s="1">
        <v>378</v>
      </c>
      <c r="H885" s="1">
        <v>14.788570999999999</v>
      </c>
      <c r="I885" s="1">
        <v>1.8519000000000001E-2</v>
      </c>
      <c r="J885" s="1">
        <v>273.86243400000001</v>
      </c>
      <c r="K885" s="1">
        <v>0</v>
      </c>
      <c r="L885" s="1">
        <v>0</v>
      </c>
      <c r="M885" s="1" t="s">
        <v>19</v>
      </c>
      <c r="N885" s="1" t="s">
        <v>69</v>
      </c>
      <c r="O885" s="1" t="s">
        <v>69</v>
      </c>
      <c r="P885" s="2">
        <f t="shared" si="26"/>
        <v>0</v>
      </c>
      <c r="Q885" s="2">
        <f t="shared" si="27"/>
        <v>0</v>
      </c>
    </row>
    <row r="886" spans="1:17" ht="12.5" x14ac:dyDescent="0.25">
      <c r="A886" s="1" t="s">
        <v>125</v>
      </c>
      <c r="B886" s="1" t="s">
        <v>16</v>
      </c>
      <c r="C886" s="1" t="s">
        <v>56</v>
      </c>
      <c r="D886" s="1" t="s">
        <v>41</v>
      </c>
      <c r="E886" s="1">
        <v>129.53602000000001</v>
      </c>
      <c r="F886" s="1">
        <v>5</v>
      </c>
      <c r="G886" s="1">
        <v>562</v>
      </c>
      <c r="H886" s="1">
        <v>25.907204</v>
      </c>
      <c r="I886" s="1">
        <v>8.8970000000000004E-3</v>
      </c>
      <c r="J886" s="1">
        <v>230.491139</v>
      </c>
      <c r="K886" s="1">
        <v>0</v>
      </c>
      <c r="L886" s="1">
        <v>0</v>
      </c>
      <c r="M886" s="1" t="s">
        <v>19</v>
      </c>
      <c r="N886" s="1" t="s">
        <v>69</v>
      </c>
      <c r="O886" s="1" t="s">
        <v>69</v>
      </c>
      <c r="P886" s="2">
        <f t="shared" si="26"/>
        <v>0</v>
      </c>
      <c r="Q886" s="2">
        <f t="shared" si="27"/>
        <v>0</v>
      </c>
    </row>
    <row r="887" spans="1:17" ht="12.5" x14ac:dyDescent="0.25">
      <c r="A887" s="1" t="s">
        <v>126</v>
      </c>
      <c r="B887" s="1" t="s">
        <v>16</v>
      </c>
      <c r="C887" s="1" t="s">
        <v>56</v>
      </c>
      <c r="D887" s="1" t="s">
        <v>41</v>
      </c>
      <c r="E887" s="1">
        <v>132.63</v>
      </c>
      <c r="F887" s="1">
        <v>4</v>
      </c>
      <c r="G887" s="1">
        <v>284</v>
      </c>
      <c r="H887" s="1">
        <v>33.157499999999999</v>
      </c>
      <c r="I887" s="1">
        <v>1.4085E-2</v>
      </c>
      <c r="J887" s="1">
        <v>467.00704200000001</v>
      </c>
      <c r="K887" s="1">
        <v>0</v>
      </c>
      <c r="L887" s="1">
        <v>0</v>
      </c>
      <c r="M887" s="1" t="s">
        <v>19</v>
      </c>
      <c r="N887" s="1" t="s">
        <v>69</v>
      </c>
      <c r="O887" s="1" t="s">
        <v>69</v>
      </c>
      <c r="P887" s="2">
        <f t="shared" si="26"/>
        <v>0</v>
      </c>
      <c r="Q887" s="2">
        <f t="shared" si="27"/>
        <v>0</v>
      </c>
    </row>
    <row r="888" spans="1:17" ht="12.5" x14ac:dyDescent="0.25">
      <c r="A888" s="1" t="s">
        <v>127</v>
      </c>
      <c r="B888" s="1" t="s">
        <v>16</v>
      </c>
      <c r="C888" s="1" t="s">
        <v>56</v>
      </c>
      <c r="D888" s="1" t="s">
        <v>41</v>
      </c>
      <c r="E888" s="1">
        <v>63.33</v>
      </c>
      <c r="F888" s="1">
        <v>3</v>
      </c>
      <c r="G888" s="1">
        <v>302</v>
      </c>
      <c r="H888" s="1">
        <v>21.11</v>
      </c>
      <c r="I888" s="1">
        <v>9.9340000000000001E-3</v>
      </c>
      <c r="J888" s="1">
        <v>209.701987</v>
      </c>
      <c r="K888" s="1">
        <v>0</v>
      </c>
      <c r="L888" s="1">
        <v>0</v>
      </c>
      <c r="M888" s="1" t="s">
        <v>19</v>
      </c>
      <c r="N888" s="1" t="s">
        <v>69</v>
      </c>
      <c r="O888" s="1" t="s">
        <v>69</v>
      </c>
      <c r="P888" s="2">
        <f t="shared" si="26"/>
        <v>0</v>
      </c>
      <c r="Q888" s="2">
        <f t="shared" si="27"/>
        <v>0</v>
      </c>
    </row>
    <row r="889" spans="1:17" ht="12.5" x14ac:dyDescent="0.25">
      <c r="A889" s="1" t="s">
        <v>139</v>
      </c>
      <c r="B889" s="1" t="s">
        <v>16</v>
      </c>
      <c r="C889" s="1" t="s">
        <v>56</v>
      </c>
      <c r="D889" s="1" t="s">
        <v>41</v>
      </c>
      <c r="E889" s="1">
        <v>25.55</v>
      </c>
      <c r="F889" s="1">
        <v>1</v>
      </c>
      <c r="G889" s="1">
        <v>30</v>
      </c>
      <c r="H889" s="1">
        <v>25.55</v>
      </c>
      <c r="I889" s="1">
        <v>3.3333000000000002E-2</v>
      </c>
      <c r="J889" s="1">
        <v>851.66666699999996</v>
      </c>
      <c r="K889" s="1">
        <v>0</v>
      </c>
      <c r="L889" s="1">
        <v>0</v>
      </c>
      <c r="M889" s="1" t="s">
        <v>19</v>
      </c>
      <c r="N889" s="1" t="s">
        <v>69</v>
      </c>
      <c r="O889" s="1" t="s">
        <v>69</v>
      </c>
      <c r="P889" s="2">
        <f t="shared" si="26"/>
        <v>0</v>
      </c>
      <c r="Q889" s="2">
        <f t="shared" si="27"/>
        <v>0</v>
      </c>
    </row>
    <row r="890" spans="1:17" ht="12.5" x14ac:dyDescent="0.25">
      <c r="A890" s="1" t="s">
        <v>128</v>
      </c>
      <c r="B890" s="1" t="s">
        <v>16</v>
      </c>
      <c r="C890" s="1" t="s">
        <v>56</v>
      </c>
      <c r="D890" s="1" t="s">
        <v>41</v>
      </c>
      <c r="E890" s="1">
        <v>48.32</v>
      </c>
      <c r="F890" s="1">
        <v>4</v>
      </c>
      <c r="G890" s="1">
        <v>163</v>
      </c>
      <c r="H890" s="1">
        <v>12.08</v>
      </c>
      <c r="I890" s="1">
        <v>2.4539999999999999E-2</v>
      </c>
      <c r="J890" s="1">
        <v>296.44171799999998</v>
      </c>
      <c r="K890" s="1">
        <v>0</v>
      </c>
      <c r="L890" s="1">
        <v>0</v>
      </c>
      <c r="M890" s="1" t="s">
        <v>19</v>
      </c>
      <c r="N890" s="1" t="s">
        <v>69</v>
      </c>
      <c r="O890" s="1" t="s">
        <v>69</v>
      </c>
      <c r="P890" s="2">
        <f t="shared" si="26"/>
        <v>0</v>
      </c>
      <c r="Q890" s="2">
        <f t="shared" si="27"/>
        <v>0</v>
      </c>
    </row>
    <row r="891" spans="1:17" ht="12.5" x14ac:dyDescent="0.25">
      <c r="A891" s="1" t="s">
        <v>129</v>
      </c>
      <c r="B891" s="1" t="s">
        <v>16</v>
      </c>
      <c r="C891" s="1" t="s">
        <v>56</v>
      </c>
      <c r="D891" s="1" t="s">
        <v>41</v>
      </c>
      <c r="E891" s="1">
        <v>21.02</v>
      </c>
      <c r="F891" s="1">
        <v>2</v>
      </c>
      <c r="G891" s="1">
        <v>242</v>
      </c>
      <c r="H891" s="1">
        <v>10.51</v>
      </c>
      <c r="I891" s="1">
        <v>8.2640000000000005E-3</v>
      </c>
      <c r="J891" s="1">
        <v>86.859504000000001</v>
      </c>
      <c r="K891" s="1">
        <v>0</v>
      </c>
      <c r="L891" s="1">
        <v>0</v>
      </c>
      <c r="M891" s="1" t="s">
        <v>19</v>
      </c>
      <c r="N891" s="1" t="s">
        <v>69</v>
      </c>
      <c r="O891" s="1" t="s">
        <v>69</v>
      </c>
      <c r="P891" s="2">
        <f t="shared" si="26"/>
        <v>0</v>
      </c>
      <c r="Q891" s="2">
        <f t="shared" si="27"/>
        <v>0</v>
      </c>
    </row>
    <row r="892" spans="1:17" ht="12.5" x14ac:dyDescent="0.25">
      <c r="A892" s="1" t="s">
        <v>130</v>
      </c>
      <c r="B892" s="1" t="s">
        <v>16</v>
      </c>
      <c r="C892" s="1" t="s">
        <v>56</v>
      </c>
      <c r="D892" s="1" t="s">
        <v>41</v>
      </c>
      <c r="E892" s="1">
        <v>56.77</v>
      </c>
      <c r="F892" s="1">
        <v>3</v>
      </c>
      <c r="G892" s="1">
        <v>423</v>
      </c>
      <c r="H892" s="1">
        <v>18.923333</v>
      </c>
      <c r="I892" s="1">
        <v>7.0920000000000002E-3</v>
      </c>
      <c r="J892" s="1">
        <v>134.20803799999999</v>
      </c>
      <c r="K892" s="1">
        <v>0</v>
      </c>
      <c r="L892" s="1">
        <v>0</v>
      </c>
      <c r="M892" s="1" t="s">
        <v>19</v>
      </c>
      <c r="N892" s="1" t="s">
        <v>69</v>
      </c>
      <c r="O892" s="1" t="s">
        <v>69</v>
      </c>
      <c r="P892" s="2">
        <f t="shared" si="26"/>
        <v>0</v>
      </c>
      <c r="Q892" s="2">
        <f t="shared" si="27"/>
        <v>0</v>
      </c>
    </row>
    <row r="893" spans="1:17" ht="12.5" x14ac:dyDescent="0.25">
      <c r="A893" s="1" t="s">
        <v>131</v>
      </c>
      <c r="B893" s="1" t="s">
        <v>16</v>
      </c>
      <c r="C893" s="1" t="s">
        <v>56</v>
      </c>
      <c r="D893" s="1" t="s">
        <v>41</v>
      </c>
      <c r="E893" s="1">
        <v>30.72</v>
      </c>
      <c r="F893" s="1">
        <v>3</v>
      </c>
      <c r="G893" s="1">
        <v>90</v>
      </c>
      <c r="H893" s="1">
        <v>10.24</v>
      </c>
      <c r="I893" s="1">
        <v>3.3333000000000002E-2</v>
      </c>
      <c r="J893" s="1">
        <v>341.33333299999998</v>
      </c>
      <c r="K893" s="1">
        <v>0</v>
      </c>
      <c r="L893" s="1">
        <v>0</v>
      </c>
      <c r="M893" s="1" t="s">
        <v>19</v>
      </c>
      <c r="N893" s="1" t="s">
        <v>69</v>
      </c>
      <c r="O893" s="1" t="s">
        <v>69</v>
      </c>
      <c r="P893" s="2">
        <f t="shared" si="26"/>
        <v>0</v>
      </c>
      <c r="Q893" s="2">
        <f t="shared" si="27"/>
        <v>0</v>
      </c>
    </row>
    <row r="894" spans="1:17" ht="12.5" x14ac:dyDescent="0.25">
      <c r="A894" s="1" t="s">
        <v>132</v>
      </c>
      <c r="B894" s="1" t="s">
        <v>16</v>
      </c>
      <c r="C894" s="1" t="s">
        <v>56</v>
      </c>
      <c r="D894" s="1" t="s">
        <v>41</v>
      </c>
      <c r="E894" s="1">
        <v>68.69</v>
      </c>
      <c r="F894" s="1">
        <v>2</v>
      </c>
      <c r="G894" s="1">
        <v>152</v>
      </c>
      <c r="H894" s="1">
        <v>34.344999999999999</v>
      </c>
      <c r="I894" s="1">
        <v>1.3158E-2</v>
      </c>
      <c r="J894" s="1">
        <v>451.907895</v>
      </c>
      <c r="K894" s="1">
        <v>0</v>
      </c>
      <c r="L894" s="1">
        <v>0</v>
      </c>
      <c r="M894" s="1" t="s">
        <v>19</v>
      </c>
      <c r="N894" s="1" t="s">
        <v>69</v>
      </c>
      <c r="O894" s="1" t="s">
        <v>69</v>
      </c>
      <c r="P894" s="2">
        <f t="shared" si="26"/>
        <v>0</v>
      </c>
      <c r="Q894" s="2">
        <f t="shared" si="27"/>
        <v>0</v>
      </c>
    </row>
    <row r="895" spans="1:17" ht="12.5" x14ac:dyDescent="0.25">
      <c r="A895" s="1" t="s">
        <v>133</v>
      </c>
      <c r="B895" s="1" t="s">
        <v>16</v>
      </c>
      <c r="C895" s="1" t="s">
        <v>56</v>
      </c>
      <c r="D895" s="1" t="s">
        <v>41</v>
      </c>
      <c r="E895" s="1">
        <v>38.74</v>
      </c>
      <c r="F895" s="1">
        <v>6</v>
      </c>
      <c r="G895" s="1">
        <v>192</v>
      </c>
      <c r="H895" s="1">
        <v>6.4566670000000004</v>
      </c>
      <c r="I895" s="1">
        <v>3.125E-2</v>
      </c>
      <c r="J895" s="1">
        <v>201.77083300000001</v>
      </c>
      <c r="K895" s="1">
        <v>0</v>
      </c>
      <c r="L895" s="1">
        <v>0</v>
      </c>
      <c r="M895" s="1" t="s">
        <v>19</v>
      </c>
      <c r="N895" s="1" t="s">
        <v>69</v>
      </c>
      <c r="O895" s="1" t="s">
        <v>69</v>
      </c>
      <c r="P895" s="2">
        <f t="shared" si="26"/>
        <v>0</v>
      </c>
      <c r="Q895" s="2">
        <f t="shared" si="27"/>
        <v>0</v>
      </c>
    </row>
    <row r="896" spans="1:17" ht="12.5" x14ac:dyDescent="0.25">
      <c r="A896" s="1" t="s">
        <v>134</v>
      </c>
      <c r="B896" s="1" t="s">
        <v>16</v>
      </c>
      <c r="C896" s="1" t="s">
        <v>56</v>
      </c>
      <c r="D896" s="1" t="s">
        <v>41</v>
      </c>
      <c r="E896" s="1">
        <v>123.22</v>
      </c>
      <c r="F896" s="1">
        <v>4</v>
      </c>
      <c r="G896" s="1">
        <v>220</v>
      </c>
      <c r="H896" s="1">
        <v>30.805</v>
      </c>
      <c r="I896" s="1">
        <v>1.8182E-2</v>
      </c>
      <c r="J896" s="1">
        <v>560.09090900000001</v>
      </c>
      <c r="K896" s="1">
        <v>0</v>
      </c>
      <c r="L896" s="1">
        <v>0</v>
      </c>
      <c r="M896" s="1" t="s">
        <v>19</v>
      </c>
      <c r="N896" s="1" t="s">
        <v>69</v>
      </c>
      <c r="O896" s="1" t="s">
        <v>69</v>
      </c>
      <c r="P896" s="2">
        <f t="shared" si="26"/>
        <v>0</v>
      </c>
      <c r="Q896" s="2">
        <f t="shared" si="27"/>
        <v>0</v>
      </c>
    </row>
    <row r="897" spans="1:17" ht="12.5" x14ac:dyDescent="0.25">
      <c r="A897" s="1" t="s">
        <v>136</v>
      </c>
      <c r="B897" s="1" t="s">
        <v>16</v>
      </c>
      <c r="C897" s="1" t="s">
        <v>56</v>
      </c>
      <c r="D897" s="1" t="s">
        <v>41</v>
      </c>
      <c r="E897" s="1">
        <v>50.65</v>
      </c>
      <c r="F897" s="1">
        <v>3</v>
      </c>
      <c r="G897" s="1">
        <v>138</v>
      </c>
      <c r="H897" s="1">
        <v>16.883333</v>
      </c>
      <c r="I897" s="1">
        <v>2.1739000000000001E-2</v>
      </c>
      <c r="J897" s="1">
        <v>367.02898599999997</v>
      </c>
      <c r="K897" s="1">
        <v>0</v>
      </c>
      <c r="L897" s="1">
        <v>0</v>
      </c>
      <c r="M897" s="1" t="s">
        <v>19</v>
      </c>
      <c r="N897" s="1" t="s">
        <v>69</v>
      </c>
      <c r="O897" s="1" t="s">
        <v>69</v>
      </c>
      <c r="P897" s="2">
        <f t="shared" si="26"/>
        <v>0</v>
      </c>
      <c r="Q897" s="2">
        <f t="shared" si="27"/>
        <v>0</v>
      </c>
    </row>
    <row r="898" spans="1:17" ht="12.5" x14ac:dyDescent="0.25">
      <c r="A898" s="3">
        <v>46029</v>
      </c>
      <c r="B898" s="1" t="s">
        <v>16</v>
      </c>
      <c r="C898" s="1" t="s">
        <v>46</v>
      </c>
      <c r="D898" s="1" t="s">
        <v>41</v>
      </c>
      <c r="E898" s="1">
        <v>441.97264699999999</v>
      </c>
      <c r="F898" s="1">
        <v>15</v>
      </c>
      <c r="G898" s="1">
        <v>33</v>
      </c>
      <c r="H898" s="1">
        <v>29.464842999999998</v>
      </c>
      <c r="I898" s="1">
        <v>0.45454499999999998</v>
      </c>
      <c r="J898" s="1">
        <v>13393.11052</v>
      </c>
      <c r="K898" s="1">
        <v>0</v>
      </c>
      <c r="L898" s="1">
        <v>0</v>
      </c>
      <c r="M898" s="1" t="s">
        <v>43</v>
      </c>
      <c r="N898" s="1" t="s">
        <v>44</v>
      </c>
      <c r="O898" s="1" t="s">
        <v>44</v>
      </c>
      <c r="P898" s="2">
        <f t="shared" si="26"/>
        <v>0</v>
      </c>
      <c r="Q898" s="2">
        <f t="shared" si="27"/>
        <v>0</v>
      </c>
    </row>
    <row r="899" spans="1:17" ht="12.5" x14ac:dyDescent="0.25">
      <c r="A899" s="3">
        <v>46119</v>
      </c>
      <c r="B899" s="1" t="s">
        <v>16</v>
      </c>
      <c r="C899" s="1" t="s">
        <v>46</v>
      </c>
      <c r="D899" s="1" t="s">
        <v>41</v>
      </c>
      <c r="E899" s="1">
        <v>4.403581</v>
      </c>
      <c r="F899" s="1">
        <v>5</v>
      </c>
      <c r="G899" s="1">
        <v>18</v>
      </c>
      <c r="H899" s="1">
        <v>0.88071600000000005</v>
      </c>
      <c r="I899" s="1">
        <v>0.27777800000000002</v>
      </c>
      <c r="J899" s="1">
        <v>244.64338900000001</v>
      </c>
      <c r="K899" s="1">
        <v>0</v>
      </c>
      <c r="L899" s="1">
        <v>0</v>
      </c>
      <c r="M899" s="1" t="s">
        <v>43</v>
      </c>
      <c r="N899" s="1" t="s">
        <v>44</v>
      </c>
      <c r="O899" s="1" t="s">
        <v>44</v>
      </c>
      <c r="P899" s="2">
        <f t="shared" ref="P899:P962" si="28">IFERROR(K899/ L899, 0)</f>
        <v>0</v>
      </c>
      <c r="Q899" s="2">
        <f t="shared" ref="Q899:Q962" si="29">IFERROR(E899/K899, 0)</f>
        <v>0</v>
      </c>
    </row>
    <row r="900" spans="1:17" ht="12.5" x14ac:dyDescent="0.25">
      <c r="A900" s="3">
        <v>46149</v>
      </c>
      <c r="B900" s="1" t="s">
        <v>16</v>
      </c>
      <c r="C900" s="1" t="s">
        <v>46</v>
      </c>
      <c r="D900" s="1" t="s">
        <v>41</v>
      </c>
      <c r="E900" s="1">
        <v>58.14</v>
      </c>
      <c r="F900" s="1">
        <v>8</v>
      </c>
      <c r="G900" s="1">
        <v>20</v>
      </c>
      <c r="H900" s="1">
        <v>7.2675000000000001</v>
      </c>
      <c r="I900" s="1">
        <v>0.4</v>
      </c>
      <c r="J900" s="1">
        <v>2907</v>
      </c>
      <c r="K900" s="1">
        <v>0</v>
      </c>
      <c r="L900" s="1">
        <v>0</v>
      </c>
      <c r="M900" s="1" t="s">
        <v>43</v>
      </c>
      <c r="N900" s="1" t="s">
        <v>44</v>
      </c>
      <c r="O900" s="1" t="s">
        <v>44</v>
      </c>
      <c r="P900" s="2">
        <f t="shared" si="28"/>
        <v>0</v>
      </c>
      <c r="Q900" s="2">
        <f t="shared" si="29"/>
        <v>0</v>
      </c>
    </row>
    <row r="901" spans="1:17" ht="12.5" x14ac:dyDescent="0.25">
      <c r="A901" s="3">
        <v>46180</v>
      </c>
      <c r="B901" s="1" t="s">
        <v>16</v>
      </c>
      <c r="C901" s="1" t="s">
        <v>46</v>
      </c>
      <c r="D901" s="1" t="s">
        <v>41</v>
      </c>
      <c r="E901" s="1">
        <v>280.54000000000002</v>
      </c>
      <c r="F901" s="1">
        <v>11</v>
      </c>
      <c r="G901" s="1">
        <v>30</v>
      </c>
      <c r="H901" s="1">
        <v>25.503636</v>
      </c>
      <c r="I901" s="1">
        <v>0.36666700000000002</v>
      </c>
      <c r="J901" s="1">
        <v>9351.3333330000005</v>
      </c>
      <c r="K901" s="1">
        <v>0</v>
      </c>
      <c r="L901" s="1">
        <v>0</v>
      </c>
      <c r="M901" s="1" t="s">
        <v>43</v>
      </c>
      <c r="N901" s="1" t="s">
        <v>44</v>
      </c>
      <c r="O901" s="1" t="s">
        <v>44</v>
      </c>
      <c r="P901" s="2">
        <f t="shared" si="28"/>
        <v>0</v>
      </c>
      <c r="Q901" s="2">
        <f t="shared" si="29"/>
        <v>0</v>
      </c>
    </row>
    <row r="902" spans="1:17" ht="12.5" x14ac:dyDescent="0.25">
      <c r="A902" s="3">
        <v>46210</v>
      </c>
      <c r="B902" s="1" t="s">
        <v>16</v>
      </c>
      <c r="C902" s="1" t="s">
        <v>46</v>
      </c>
      <c r="D902" s="1" t="s">
        <v>41</v>
      </c>
      <c r="E902" s="1">
        <v>5.75</v>
      </c>
      <c r="F902" s="1">
        <v>6</v>
      </c>
      <c r="G902" s="1">
        <v>28</v>
      </c>
      <c r="H902" s="1">
        <v>0.95833299999999999</v>
      </c>
      <c r="I902" s="1">
        <v>0.214286</v>
      </c>
      <c r="J902" s="1">
        <v>205.35714300000001</v>
      </c>
      <c r="K902" s="1">
        <v>0</v>
      </c>
      <c r="L902" s="1">
        <v>0</v>
      </c>
      <c r="M902" s="1" t="s">
        <v>43</v>
      </c>
      <c r="N902" s="1" t="s">
        <v>44</v>
      </c>
      <c r="O902" s="1" t="s">
        <v>44</v>
      </c>
      <c r="P902" s="2">
        <f t="shared" si="28"/>
        <v>0</v>
      </c>
      <c r="Q902" s="2">
        <f t="shared" si="29"/>
        <v>0</v>
      </c>
    </row>
    <row r="903" spans="1:17" ht="12.5" x14ac:dyDescent="0.25">
      <c r="A903" s="3">
        <v>46241</v>
      </c>
      <c r="B903" s="1" t="s">
        <v>16</v>
      </c>
      <c r="C903" s="1" t="s">
        <v>46</v>
      </c>
      <c r="D903" s="1" t="s">
        <v>41</v>
      </c>
      <c r="E903" s="1">
        <v>136.78</v>
      </c>
      <c r="F903" s="1">
        <v>7</v>
      </c>
      <c r="G903" s="1">
        <v>29</v>
      </c>
      <c r="H903" s="1">
        <v>19.54</v>
      </c>
      <c r="I903" s="1">
        <v>0.24137900000000001</v>
      </c>
      <c r="J903" s="1">
        <v>4716.5517239999999</v>
      </c>
      <c r="K903" s="1">
        <v>0</v>
      </c>
      <c r="L903" s="1">
        <v>0</v>
      </c>
      <c r="M903" s="1" t="s">
        <v>43</v>
      </c>
      <c r="N903" s="1" t="s">
        <v>44</v>
      </c>
      <c r="O903" s="1" t="s">
        <v>44</v>
      </c>
      <c r="P903" s="2">
        <f t="shared" si="28"/>
        <v>0</v>
      </c>
      <c r="Q903" s="2">
        <f t="shared" si="29"/>
        <v>0</v>
      </c>
    </row>
    <row r="904" spans="1:17" ht="12.5" x14ac:dyDescent="0.25">
      <c r="A904" s="3">
        <v>46272</v>
      </c>
      <c r="B904" s="1" t="s">
        <v>16</v>
      </c>
      <c r="C904" s="1" t="s">
        <v>46</v>
      </c>
      <c r="D904" s="1" t="s">
        <v>41</v>
      </c>
      <c r="E904" s="1">
        <v>1119.4000000000001</v>
      </c>
      <c r="F904" s="1">
        <v>3</v>
      </c>
      <c r="G904" s="1">
        <v>6</v>
      </c>
      <c r="H904" s="1">
        <v>373.13333299999999</v>
      </c>
      <c r="I904" s="1">
        <v>0.5</v>
      </c>
      <c r="J904" s="1">
        <v>186566.6667</v>
      </c>
      <c r="K904" s="1">
        <v>0</v>
      </c>
      <c r="L904" s="1">
        <v>0</v>
      </c>
      <c r="M904" s="1" t="s">
        <v>43</v>
      </c>
      <c r="N904" s="1" t="s">
        <v>44</v>
      </c>
      <c r="O904" s="1" t="s">
        <v>44</v>
      </c>
      <c r="P904" s="2">
        <f t="shared" si="28"/>
        <v>0</v>
      </c>
      <c r="Q904" s="2">
        <f t="shared" si="29"/>
        <v>0</v>
      </c>
    </row>
    <row r="905" spans="1:17" ht="12.5" x14ac:dyDescent="0.25">
      <c r="A905" s="3">
        <v>46302</v>
      </c>
      <c r="B905" s="1" t="s">
        <v>16</v>
      </c>
      <c r="C905" s="1" t="s">
        <v>46</v>
      </c>
      <c r="D905" s="1" t="s">
        <v>41</v>
      </c>
      <c r="E905" s="1">
        <v>248</v>
      </c>
      <c r="F905" s="1">
        <v>12</v>
      </c>
      <c r="G905" s="1">
        <v>36</v>
      </c>
      <c r="H905" s="1">
        <v>20.666667</v>
      </c>
      <c r="I905" s="1">
        <v>0.33333299999999999</v>
      </c>
      <c r="J905" s="1">
        <v>6888.8888889999998</v>
      </c>
      <c r="K905" s="1">
        <v>0</v>
      </c>
      <c r="L905" s="1">
        <v>0</v>
      </c>
      <c r="M905" s="1" t="s">
        <v>43</v>
      </c>
      <c r="N905" s="1" t="s">
        <v>44</v>
      </c>
      <c r="O905" s="1" t="s">
        <v>44</v>
      </c>
      <c r="P905" s="2">
        <f t="shared" si="28"/>
        <v>0</v>
      </c>
      <c r="Q905" s="2">
        <f t="shared" si="29"/>
        <v>0</v>
      </c>
    </row>
    <row r="906" spans="1:17" ht="12.5" x14ac:dyDescent="0.25">
      <c r="A906" s="3">
        <v>46333</v>
      </c>
      <c r="B906" s="1" t="s">
        <v>16</v>
      </c>
      <c r="C906" s="1" t="s">
        <v>46</v>
      </c>
      <c r="D906" s="1" t="s">
        <v>41</v>
      </c>
      <c r="E906" s="1">
        <v>578.63</v>
      </c>
      <c r="F906" s="1">
        <v>2</v>
      </c>
      <c r="G906" s="1">
        <v>14</v>
      </c>
      <c r="H906" s="1">
        <v>289.315</v>
      </c>
      <c r="I906" s="1">
        <v>0.14285700000000001</v>
      </c>
      <c r="J906" s="1">
        <v>41330.714290000004</v>
      </c>
      <c r="K906" s="1">
        <v>0</v>
      </c>
      <c r="L906" s="1">
        <v>0</v>
      </c>
      <c r="M906" s="1" t="s">
        <v>43</v>
      </c>
      <c r="N906" s="1" t="s">
        <v>44</v>
      </c>
      <c r="O906" s="1" t="s">
        <v>44</v>
      </c>
      <c r="P906" s="2">
        <f t="shared" si="28"/>
        <v>0</v>
      </c>
      <c r="Q906" s="2">
        <f t="shared" si="29"/>
        <v>0</v>
      </c>
    </row>
    <row r="907" spans="1:17" ht="12.5" x14ac:dyDescent="0.25">
      <c r="A907" s="3">
        <v>46363</v>
      </c>
      <c r="B907" s="1" t="s">
        <v>16</v>
      </c>
      <c r="C907" s="1" t="s">
        <v>46</v>
      </c>
      <c r="D907" s="1" t="s">
        <v>41</v>
      </c>
      <c r="E907" s="1">
        <v>356.14187199999998</v>
      </c>
      <c r="F907" s="1">
        <v>5</v>
      </c>
      <c r="G907" s="1">
        <v>16</v>
      </c>
      <c r="H907" s="1">
        <v>71.228374000000002</v>
      </c>
      <c r="I907" s="1">
        <v>0.3125</v>
      </c>
      <c r="J907" s="1">
        <v>22258.866999999998</v>
      </c>
      <c r="K907" s="1">
        <v>0</v>
      </c>
      <c r="L907" s="1">
        <v>0</v>
      </c>
      <c r="M907" s="1" t="s">
        <v>43</v>
      </c>
      <c r="N907" s="1" t="s">
        <v>44</v>
      </c>
      <c r="O907" s="1" t="s">
        <v>44</v>
      </c>
      <c r="P907" s="2">
        <f t="shared" si="28"/>
        <v>0</v>
      </c>
      <c r="Q907" s="2">
        <f t="shared" si="29"/>
        <v>0</v>
      </c>
    </row>
    <row r="908" spans="1:17" ht="12.5" x14ac:dyDescent="0.25">
      <c r="A908" s="1" t="s">
        <v>137</v>
      </c>
      <c r="B908" s="1" t="s">
        <v>16</v>
      </c>
      <c r="C908" s="1" t="s">
        <v>46</v>
      </c>
      <c r="D908" s="1" t="s">
        <v>41</v>
      </c>
      <c r="E908" s="1">
        <v>291.11</v>
      </c>
      <c r="F908" s="1">
        <v>8</v>
      </c>
      <c r="G908" s="1">
        <v>36</v>
      </c>
      <c r="H908" s="1">
        <v>36.388750000000002</v>
      </c>
      <c r="I908" s="1">
        <v>0.222222</v>
      </c>
      <c r="J908" s="1">
        <v>8086.3888889999998</v>
      </c>
      <c r="K908" s="1">
        <v>0</v>
      </c>
      <c r="L908" s="1">
        <v>0</v>
      </c>
      <c r="M908" s="1" t="s">
        <v>43</v>
      </c>
      <c r="N908" s="1" t="s">
        <v>44</v>
      </c>
      <c r="O908" s="1" t="s">
        <v>44</v>
      </c>
      <c r="P908" s="2">
        <f t="shared" si="28"/>
        <v>0</v>
      </c>
      <c r="Q908" s="2">
        <f t="shared" si="29"/>
        <v>0</v>
      </c>
    </row>
    <row r="909" spans="1:17" ht="12.5" x14ac:dyDescent="0.25">
      <c r="A909" s="1" t="s">
        <v>138</v>
      </c>
      <c r="B909" s="1" t="s">
        <v>16</v>
      </c>
      <c r="C909" s="1" t="s">
        <v>46</v>
      </c>
      <c r="D909" s="1" t="s">
        <v>41</v>
      </c>
      <c r="E909" s="1">
        <v>782.56</v>
      </c>
      <c r="F909" s="1">
        <v>9</v>
      </c>
      <c r="G909" s="1">
        <v>22</v>
      </c>
      <c r="H909" s="1">
        <v>86.951110999999997</v>
      </c>
      <c r="I909" s="1">
        <v>0.40909099999999998</v>
      </c>
      <c r="J909" s="1">
        <v>35570.909090000001</v>
      </c>
      <c r="K909" s="1">
        <v>0</v>
      </c>
      <c r="L909" s="1">
        <v>0</v>
      </c>
      <c r="M909" s="1" t="s">
        <v>43</v>
      </c>
      <c r="N909" s="1" t="s">
        <v>44</v>
      </c>
      <c r="O909" s="1" t="s">
        <v>44</v>
      </c>
      <c r="P909" s="2">
        <f t="shared" si="28"/>
        <v>0</v>
      </c>
      <c r="Q909" s="2">
        <f t="shared" si="29"/>
        <v>0</v>
      </c>
    </row>
    <row r="910" spans="1:17" ht="12.5" x14ac:dyDescent="0.25">
      <c r="A910" s="1" t="s">
        <v>122</v>
      </c>
      <c r="B910" s="1" t="s">
        <v>16</v>
      </c>
      <c r="C910" s="1" t="s">
        <v>46</v>
      </c>
      <c r="D910" s="1" t="s">
        <v>41</v>
      </c>
      <c r="E910" s="1">
        <v>232.96</v>
      </c>
      <c r="F910" s="1">
        <v>7</v>
      </c>
      <c r="G910" s="1">
        <v>19</v>
      </c>
      <c r="H910" s="1">
        <v>33.28</v>
      </c>
      <c r="I910" s="1">
        <v>0.368421</v>
      </c>
      <c r="J910" s="1">
        <v>12261.05263</v>
      </c>
      <c r="K910" s="1">
        <v>0</v>
      </c>
      <c r="L910" s="1">
        <v>0</v>
      </c>
      <c r="M910" s="1" t="s">
        <v>43</v>
      </c>
      <c r="N910" s="1" t="s">
        <v>44</v>
      </c>
      <c r="O910" s="1" t="s">
        <v>44</v>
      </c>
      <c r="P910" s="2">
        <f t="shared" si="28"/>
        <v>0</v>
      </c>
      <c r="Q910" s="2">
        <f t="shared" si="29"/>
        <v>0</v>
      </c>
    </row>
    <row r="911" spans="1:17" ht="12.5" x14ac:dyDescent="0.25">
      <c r="A911" s="1" t="s">
        <v>123</v>
      </c>
      <c r="B911" s="1" t="s">
        <v>16</v>
      </c>
      <c r="C911" s="1" t="s">
        <v>46</v>
      </c>
      <c r="D911" s="1" t="s">
        <v>41</v>
      </c>
      <c r="E911" s="1">
        <v>427.38494800000001</v>
      </c>
      <c r="F911" s="1">
        <v>8</v>
      </c>
      <c r="G911" s="1">
        <v>25</v>
      </c>
      <c r="H911" s="1">
        <v>53.423119</v>
      </c>
      <c r="I911" s="1">
        <v>0.32</v>
      </c>
      <c r="J911" s="1">
        <v>17095.397919999999</v>
      </c>
      <c r="K911" s="1">
        <v>0</v>
      </c>
      <c r="L911" s="1">
        <v>0</v>
      </c>
      <c r="M911" s="1" t="s">
        <v>43</v>
      </c>
      <c r="N911" s="1" t="s">
        <v>44</v>
      </c>
      <c r="O911" s="1" t="s">
        <v>44</v>
      </c>
      <c r="P911" s="2">
        <f t="shared" si="28"/>
        <v>0</v>
      </c>
      <c r="Q911" s="2">
        <f t="shared" si="29"/>
        <v>0</v>
      </c>
    </row>
    <row r="912" spans="1:17" ht="12.5" x14ac:dyDescent="0.25">
      <c r="A912" s="1" t="s">
        <v>124</v>
      </c>
      <c r="B912" s="1" t="s">
        <v>16</v>
      </c>
      <c r="C912" s="1" t="s">
        <v>46</v>
      </c>
      <c r="D912" s="1" t="s">
        <v>41</v>
      </c>
      <c r="E912" s="1">
        <v>278.37</v>
      </c>
      <c r="F912" s="1">
        <v>9</v>
      </c>
      <c r="G912" s="1">
        <v>29</v>
      </c>
      <c r="H912" s="1">
        <v>30.93</v>
      </c>
      <c r="I912" s="1">
        <v>0.31034499999999998</v>
      </c>
      <c r="J912" s="1">
        <v>9598.9655170000005</v>
      </c>
      <c r="K912" s="1">
        <v>0</v>
      </c>
      <c r="L912" s="1">
        <v>0</v>
      </c>
      <c r="M912" s="1" t="s">
        <v>43</v>
      </c>
      <c r="N912" s="1" t="s">
        <v>44</v>
      </c>
      <c r="O912" s="1" t="s">
        <v>44</v>
      </c>
      <c r="P912" s="2">
        <f t="shared" si="28"/>
        <v>0</v>
      </c>
      <c r="Q912" s="2">
        <f t="shared" si="29"/>
        <v>0</v>
      </c>
    </row>
    <row r="913" spans="1:17" ht="12.5" x14ac:dyDescent="0.25">
      <c r="A913" s="1" t="s">
        <v>125</v>
      </c>
      <c r="B913" s="1" t="s">
        <v>16</v>
      </c>
      <c r="C913" s="1" t="s">
        <v>46</v>
      </c>
      <c r="D913" s="1" t="s">
        <v>41</v>
      </c>
      <c r="E913" s="1">
        <v>196.45</v>
      </c>
      <c r="F913" s="1">
        <v>9</v>
      </c>
      <c r="G913" s="1">
        <v>30</v>
      </c>
      <c r="H913" s="1">
        <v>21.827777999999999</v>
      </c>
      <c r="I913" s="1">
        <v>0.3</v>
      </c>
      <c r="J913" s="1">
        <v>6548.3333329999996</v>
      </c>
      <c r="K913" s="1">
        <v>0</v>
      </c>
      <c r="L913" s="1">
        <v>0</v>
      </c>
      <c r="M913" s="1" t="s">
        <v>43</v>
      </c>
      <c r="N913" s="1" t="s">
        <v>44</v>
      </c>
      <c r="O913" s="1" t="s">
        <v>44</v>
      </c>
      <c r="P913" s="2">
        <f t="shared" si="28"/>
        <v>0</v>
      </c>
      <c r="Q913" s="2">
        <f t="shared" si="29"/>
        <v>0</v>
      </c>
    </row>
    <row r="914" spans="1:17" ht="12.5" x14ac:dyDescent="0.25">
      <c r="A914" s="1" t="s">
        <v>126</v>
      </c>
      <c r="B914" s="1" t="s">
        <v>16</v>
      </c>
      <c r="C914" s="1" t="s">
        <v>46</v>
      </c>
      <c r="D914" s="1" t="s">
        <v>41</v>
      </c>
      <c r="E914" s="1">
        <v>856.56291199999998</v>
      </c>
      <c r="F914" s="1">
        <v>7</v>
      </c>
      <c r="G914" s="1">
        <v>26</v>
      </c>
      <c r="H914" s="1">
        <v>122.36613</v>
      </c>
      <c r="I914" s="1">
        <v>0.269231</v>
      </c>
      <c r="J914" s="1">
        <v>32944.72739</v>
      </c>
      <c r="K914" s="1">
        <v>1</v>
      </c>
      <c r="L914" s="1">
        <v>34770</v>
      </c>
      <c r="M914" s="1" t="s">
        <v>43</v>
      </c>
      <c r="N914" s="1" t="s">
        <v>44</v>
      </c>
      <c r="O914" s="1" t="s">
        <v>44</v>
      </c>
      <c r="P914" s="2">
        <f t="shared" si="28"/>
        <v>2.8760425654299682E-5</v>
      </c>
      <c r="Q914" s="2">
        <f t="shared" si="29"/>
        <v>856.56291199999998</v>
      </c>
    </row>
    <row r="915" spans="1:17" ht="12.5" x14ac:dyDescent="0.25">
      <c r="A915" s="1" t="s">
        <v>127</v>
      </c>
      <c r="B915" s="1" t="s">
        <v>16</v>
      </c>
      <c r="C915" s="1" t="s">
        <v>46</v>
      </c>
      <c r="D915" s="1" t="s">
        <v>41</v>
      </c>
      <c r="E915" s="1">
        <v>182.184315</v>
      </c>
      <c r="F915" s="1">
        <v>7</v>
      </c>
      <c r="G915" s="1">
        <v>26</v>
      </c>
      <c r="H915" s="1">
        <v>26.026330999999999</v>
      </c>
      <c r="I915" s="1">
        <v>0.269231</v>
      </c>
      <c r="J915" s="1">
        <v>7007.0890380000001</v>
      </c>
      <c r="K915" s="1">
        <v>0</v>
      </c>
      <c r="L915" s="1">
        <v>0</v>
      </c>
      <c r="M915" s="1" t="s">
        <v>43</v>
      </c>
      <c r="N915" s="1" t="s">
        <v>44</v>
      </c>
      <c r="O915" s="1" t="s">
        <v>44</v>
      </c>
      <c r="P915" s="2">
        <f t="shared" si="28"/>
        <v>0</v>
      </c>
      <c r="Q915" s="2">
        <f t="shared" si="29"/>
        <v>0</v>
      </c>
    </row>
    <row r="916" spans="1:17" ht="12.5" x14ac:dyDescent="0.25">
      <c r="A916" s="1" t="s">
        <v>139</v>
      </c>
      <c r="B916" s="1" t="s">
        <v>16</v>
      </c>
      <c r="C916" s="1" t="s">
        <v>46</v>
      </c>
      <c r="D916" s="1" t="s">
        <v>41</v>
      </c>
      <c r="E916" s="1">
        <v>26.96</v>
      </c>
      <c r="F916" s="1">
        <v>2</v>
      </c>
      <c r="G916" s="1">
        <v>6</v>
      </c>
      <c r="H916" s="1">
        <v>13.48</v>
      </c>
      <c r="I916" s="1">
        <v>0.33333299999999999</v>
      </c>
      <c r="J916" s="1">
        <v>4493.3333329999996</v>
      </c>
      <c r="K916" s="1">
        <v>0</v>
      </c>
      <c r="L916" s="1">
        <v>0</v>
      </c>
      <c r="M916" s="1" t="s">
        <v>43</v>
      </c>
      <c r="N916" s="1" t="s">
        <v>44</v>
      </c>
      <c r="O916" s="1" t="s">
        <v>44</v>
      </c>
      <c r="P916" s="2">
        <f t="shared" si="28"/>
        <v>0</v>
      </c>
      <c r="Q916" s="2">
        <f t="shared" si="29"/>
        <v>0</v>
      </c>
    </row>
    <row r="917" spans="1:17" ht="12.5" x14ac:dyDescent="0.25">
      <c r="A917" s="1" t="s">
        <v>128</v>
      </c>
      <c r="B917" s="1" t="s">
        <v>16</v>
      </c>
      <c r="C917" s="1" t="s">
        <v>46</v>
      </c>
      <c r="D917" s="1" t="s">
        <v>41</v>
      </c>
      <c r="E917" s="1">
        <v>11.776452000000001</v>
      </c>
      <c r="F917" s="1">
        <v>8</v>
      </c>
      <c r="G917" s="1">
        <v>22</v>
      </c>
      <c r="H917" s="1">
        <v>1.4720569999999999</v>
      </c>
      <c r="I917" s="1">
        <v>0.36363600000000001</v>
      </c>
      <c r="J917" s="1">
        <v>535.293273</v>
      </c>
      <c r="K917" s="1">
        <v>0</v>
      </c>
      <c r="L917" s="1">
        <v>0</v>
      </c>
      <c r="M917" s="1" t="s">
        <v>43</v>
      </c>
      <c r="N917" s="1" t="s">
        <v>44</v>
      </c>
      <c r="O917" s="1" t="s">
        <v>44</v>
      </c>
      <c r="P917" s="2">
        <f t="shared" si="28"/>
        <v>0</v>
      </c>
      <c r="Q917" s="2">
        <f t="shared" si="29"/>
        <v>0</v>
      </c>
    </row>
    <row r="918" spans="1:17" ht="12.5" x14ac:dyDescent="0.25">
      <c r="A918" s="1" t="s">
        <v>129</v>
      </c>
      <c r="B918" s="1" t="s">
        <v>16</v>
      </c>
      <c r="C918" s="1" t="s">
        <v>46</v>
      </c>
      <c r="D918" s="1" t="s">
        <v>41</v>
      </c>
      <c r="E918" s="1">
        <v>9.8070339999999998</v>
      </c>
      <c r="F918" s="1">
        <v>9</v>
      </c>
      <c r="G918" s="1">
        <v>20</v>
      </c>
      <c r="H918" s="1">
        <v>1.0896699999999999</v>
      </c>
      <c r="I918" s="1">
        <v>0.45</v>
      </c>
      <c r="J918" s="1">
        <v>490.35169999999999</v>
      </c>
      <c r="K918" s="1">
        <v>1</v>
      </c>
      <c r="L918" s="1">
        <v>4320</v>
      </c>
      <c r="M918" s="1" t="s">
        <v>43</v>
      </c>
      <c r="N918" s="1" t="s">
        <v>44</v>
      </c>
      <c r="O918" s="1" t="s">
        <v>44</v>
      </c>
      <c r="P918" s="2">
        <f t="shared" si="28"/>
        <v>2.3148148148148149E-4</v>
      </c>
      <c r="Q918" s="2">
        <f t="shared" si="29"/>
        <v>9.8070339999999998</v>
      </c>
    </row>
    <row r="919" spans="1:17" ht="12.5" x14ac:dyDescent="0.25">
      <c r="A919" s="1" t="s">
        <v>130</v>
      </c>
      <c r="B919" s="1" t="s">
        <v>16</v>
      </c>
      <c r="C919" s="1" t="s">
        <v>46</v>
      </c>
      <c r="D919" s="1" t="s">
        <v>41</v>
      </c>
      <c r="E919" s="1">
        <v>5.82</v>
      </c>
      <c r="F919" s="1">
        <v>6</v>
      </c>
      <c r="G919" s="1">
        <v>12</v>
      </c>
      <c r="H919" s="1">
        <v>0.97</v>
      </c>
      <c r="I919" s="1">
        <v>0.5</v>
      </c>
      <c r="J919" s="1">
        <v>485</v>
      </c>
      <c r="K919" s="1">
        <v>1</v>
      </c>
      <c r="L919" s="1">
        <v>4165.92</v>
      </c>
      <c r="M919" s="1" t="s">
        <v>43</v>
      </c>
      <c r="N919" s="1" t="s">
        <v>44</v>
      </c>
      <c r="O919" s="1" t="s">
        <v>44</v>
      </c>
      <c r="P919" s="2">
        <f t="shared" si="28"/>
        <v>2.4004301570841493E-4</v>
      </c>
      <c r="Q919" s="2">
        <f t="shared" si="29"/>
        <v>5.82</v>
      </c>
    </row>
    <row r="920" spans="1:17" ht="12.5" x14ac:dyDescent="0.25">
      <c r="A920" s="1" t="s">
        <v>131</v>
      </c>
      <c r="B920" s="1" t="s">
        <v>16</v>
      </c>
      <c r="C920" s="1" t="s">
        <v>46</v>
      </c>
      <c r="D920" s="1" t="s">
        <v>41</v>
      </c>
      <c r="E920" s="1">
        <v>273.33</v>
      </c>
      <c r="F920" s="1">
        <v>10</v>
      </c>
      <c r="G920" s="1">
        <v>18</v>
      </c>
      <c r="H920" s="1">
        <v>27.332999999999998</v>
      </c>
      <c r="I920" s="1">
        <v>0.55555600000000005</v>
      </c>
      <c r="J920" s="1">
        <v>15185</v>
      </c>
      <c r="K920" s="1">
        <v>0</v>
      </c>
      <c r="L920" s="1">
        <v>0</v>
      </c>
      <c r="M920" s="1" t="s">
        <v>43</v>
      </c>
      <c r="N920" s="1" t="s">
        <v>44</v>
      </c>
      <c r="O920" s="1" t="s">
        <v>44</v>
      </c>
      <c r="P920" s="2">
        <f t="shared" si="28"/>
        <v>0</v>
      </c>
      <c r="Q920" s="2">
        <f t="shared" si="29"/>
        <v>0</v>
      </c>
    </row>
    <row r="921" spans="1:17" ht="12.5" x14ac:dyDescent="0.25">
      <c r="A921" s="1" t="s">
        <v>132</v>
      </c>
      <c r="B921" s="1" t="s">
        <v>16</v>
      </c>
      <c r="C921" s="1" t="s">
        <v>46</v>
      </c>
      <c r="D921" s="1" t="s">
        <v>41</v>
      </c>
      <c r="E921" s="1">
        <v>44.46</v>
      </c>
      <c r="F921" s="1">
        <v>8</v>
      </c>
      <c r="G921" s="1">
        <v>18</v>
      </c>
      <c r="H921" s="1">
        <v>5.5575000000000001</v>
      </c>
      <c r="I921" s="1">
        <v>0.44444400000000001</v>
      </c>
      <c r="J921" s="1">
        <v>2470</v>
      </c>
      <c r="K921" s="1">
        <v>0</v>
      </c>
      <c r="L921" s="1">
        <v>0</v>
      </c>
      <c r="M921" s="1" t="s">
        <v>43</v>
      </c>
      <c r="N921" s="1" t="s">
        <v>44</v>
      </c>
      <c r="O921" s="1" t="s">
        <v>44</v>
      </c>
      <c r="P921" s="2">
        <f t="shared" si="28"/>
        <v>0</v>
      </c>
      <c r="Q921" s="2">
        <f t="shared" si="29"/>
        <v>0</v>
      </c>
    </row>
    <row r="922" spans="1:17" ht="12.5" x14ac:dyDescent="0.25">
      <c r="A922" s="1" t="s">
        <v>133</v>
      </c>
      <c r="B922" s="1" t="s">
        <v>16</v>
      </c>
      <c r="C922" s="1" t="s">
        <v>46</v>
      </c>
      <c r="D922" s="1" t="s">
        <v>41</v>
      </c>
      <c r="E922" s="1">
        <v>3.87</v>
      </c>
      <c r="F922" s="1">
        <v>2</v>
      </c>
      <c r="G922" s="1">
        <v>6</v>
      </c>
      <c r="H922" s="1">
        <v>1.9350000000000001</v>
      </c>
      <c r="I922" s="1">
        <v>0.33333299999999999</v>
      </c>
      <c r="J922" s="1">
        <v>645</v>
      </c>
      <c r="K922" s="1">
        <v>0</v>
      </c>
      <c r="L922" s="1">
        <v>0</v>
      </c>
      <c r="M922" s="1" t="s">
        <v>43</v>
      </c>
      <c r="N922" s="1" t="s">
        <v>44</v>
      </c>
      <c r="O922" s="1" t="s">
        <v>44</v>
      </c>
      <c r="P922" s="2">
        <f t="shared" si="28"/>
        <v>0</v>
      </c>
      <c r="Q922" s="2">
        <f t="shared" si="29"/>
        <v>0</v>
      </c>
    </row>
    <row r="923" spans="1:17" ht="12.5" x14ac:dyDescent="0.25">
      <c r="A923" s="1" t="s">
        <v>134</v>
      </c>
      <c r="B923" s="1" t="s">
        <v>16</v>
      </c>
      <c r="C923" s="1" t="s">
        <v>46</v>
      </c>
      <c r="D923" s="1" t="s">
        <v>41</v>
      </c>
      <c r="E923" s="1">
        <v>3.84</v>
      </c>
      <c r="F923" s="1">
        <v>2</v>
      </c>
      <c r="G923" s="1">
        <v>12</v>
      </c>
      <c r="H923" s="1">
        <v>1.92</v>
      </c>
      <c r="I923" s="1">
        <v>0.16666700000000001</v>
      </c>
      <c r="J923" s="1">
        <v>320</v>
      </c>
      <c r="K923" s="1">
        <v>0</v>
      </c>
      <c r="L923" s="1">
        <v>0</v>
      </c>
      <c r="M923" s="1" t="s">
        <v>43</v>
      </c>
      <c r="N923" s="1" t="s">
        <v>44</v>
      </c>
      <c r="O923" s="1" t="s">
        <v>44</v>
      </c>
      <c r="P923" s="2">
        <f t="shared" si="28"/>
        <v>0</v>
      </c>
      <c r="Q923" s="2">
        <f t="shared" si="29"/>
        <v>0</v>
      </c>
    </row>
    <row r="924" spans="1:17" ht="12.5" x14ac:dyDescent="0.25">
      <c r="A924" s="1" t="s">
        <v>135</v>
      </c>
      <c r="B924" s="1" t="s">
        <v>16</v>
      </c>
      <c r="C924" s="1" t="s">
        <v>46</v>
      </c>
      <c r="D924" s="1" t="s">
        <v>41</v>
      </c>
      <c r="E924" s="1">
        <v>3.84</v>
      </c>
      <c r="F924" s="1">
        <v>4</v>
      </c>
      <c r="G924" s="1">
        <v>12</v>
      </c>
      <c r="H924" s="1">
        <v>0.96</v>
      </c>
      <c r="I924" s="1">
        <v>0.33333299999999999</v>
      </c>
      <c r="J924" s="1">
        <v>320</v>
      </c>
      <c r="K924" s="1">
        <v>0</v>
      </c>
      <c r="L924" s="1">
        <v>0</v>
      </c>
      <c r="M924" s="1" t="s">
        <v>43</v>
      </c>
      <c r="N924" s="1" t="s">
        <v>44</v>
      </c>
      <c r="O924" s="1" t="s">
        <v>44</v>
      </c>
      <c r="P924" s="2">
        <f t="shared" si="28"/>
        <v>0</v>
      </c>
      <c r="Q924" s="2">
        <f t="shared" si="29"/>
        <v>0</v>
      </c>
    </row>
    <row r="925" spans="1:17" ht="12.5" x14ac:dyDescent="0.25">
      <c r="A925" s="3">
        <v>46029</v>
      </c>
      <c r="B925" s="1" t="s">
        <v>16</v>
      </c>
      <c r="C925" s="1" t="s">
        <v>56</v>
      </c>
      <c r="D925" s="1" t="s">
        <v>41</v>
      </c>
      <c r="E925" s="1">
        <v>664.05</v>
      </c>
      <c r="F925" s="1">
        <v>19</v>
      </c>
      <c r="G925" s="1">
        <v>1468</v>
      </c>
      <c r="H925" s="1">
        <v>34.950000000000003</v>
      </c>
      <c r="I925" s="1">
        <v>1.2943E-2</v>
      </c>
      <c r="J925" s="1">
        <v>452.35013600000002</v>
      </c>
      <c r="K925" s="1">
        <v>0</v>
      </c>
      <c r="L925" s="1">
        <v>0</v>
      </c>
      <c r="M925" s="1" t="s">
        <v>43</v>
      </c>
      <c r="N925" s="1" t="s">
        <v>44</v>
      </c>
      <c r="O925" s="1" t="s">
        <v>44</v>
      </c>
      <c r="P925" s="2">
        <f t="shared" si="28"/>
        <v>0</v>
      </c>
      <c r="Q925" s="2">
        <f t="shared" si="29"/>
        <v>0</v>
      </c>
    </row>
    <row r="926" spans="1:17" ht="12.5" x14ac:dyDescent="0.25">
      <c r="A926" s="3">
        <v>46119</v>
      </c>
      <c r="B926" s="1" t="s">
        <v>16</v>
      </c>
      <c r="C926" s="1" t="s">
        <v>56</v>
      </c>
      <c r="D926" s="1" t="s">
        <v>41</v>
      </c>
      <c r="E926" s="1">
        <v>1298.0426210000001</v>
      </c>
      <c r="F926" s="1">
        <v>27</v>
      </c>
      <c r="G926" s="1">
        <v>2437</v>
      </c>
      <c r="H926" s="1">
        <v>48.075653000000003</v>
      </c>
      <c r="I926" s="1">
        <v>1.1079E-2</v>
      </c>
      <c r="J926" s="1">
        <v>532.63956499999995</v>
      </c>
      <c r="K926" s="1">
        <v>0</v>
      </c>
      <c r="L926" s="1">
        <v>0</v>
      </c>
      <c r="M926" s="1" t="s">
        <v>43</v>
      </c>
      <c r="N926" s="1" t="s">
        <v>44</v>
      </c>
      <c r="O926" s="1" t="s">
        <v>44</v>
      </c>
      <c r="P926" s="2">
        <f t="shared" si="28"/>
        <v>0</v>
      </c>
      <c r="Q926" s="2">
        <f t="shared" si="29"/>
        <v>0</v>
      </c>
    </row>
    <row r="927" spans="1:17" ht="12.5" x14ac:dyDescent="0.25">
      <c r="A927" s="3">
        <v>46149</v>
      </c>
      <c r="B927" s="1" t="s">
        <v>16</v>
      </c>
      <c r="C927" s="1" t="s">
        <v>56</v>
      </c>
      <c r="D927" s="1" t="s">
        <v>41</v>
      </c>
      <c r="E927" s="1">
        <v>1722.0328589999999</v>
      </c>
      <c r="F927" s="1">
        <v>22</v>
      </c>
      <c r="G927" s="1">
        <v>2024</v>
      </c>
      <c r="H927" s="1">
        <v>78.274220999999997</v>
      </c>
      <c r="I927" s="1">
        <v>1.0869999999999999E-2</v>
      </c>
      <c r="J927" s="1">
        <v>850.80674899999997</v>
      </c>
      <c r="K927" s="1">
        <v>0.5</v>
      </c>
      <c r="L927" s="1">
        <v>6600</v>
      </c>
      <c r="M927" s="1" t="s">
        <v>43</v>
      </c>
      <c r="N927" s="1" t="s">
        <v>44</v>
      </c>
      <c r="O927" s="1" t="s">
        <v>44</v>
      </c>
      <c r="P927" s="2">
        <f t="shared" si="28"/>
        <v>7.5757575757575758E-5</v>
      </c>
      <c r="Q927" s="2">
        <f t="shared" si="29"/>
        <v>3444.0657179999998</v>
      </c>
    </row>
    <row r="928" spans="1:17" ht="12.5" x14ac:dyDescent="0.25">
      <c r="A928" s="3">
        <v>46180</v>
      </c>
      <c r="B928" s="1" t="s">
        <v>16</v>
      </c>
      <c r="C928" s="1" t="s">
        <v>56</v>
      </c>
      <c r="D928" s="1" t="s">
        <v>41</v>
      </c>
      <c r="E928" s="1">
        <v>994.31</v>
      </c>
      <c r="F928" s="1">
        <v>17</v>
      </c>
      <c r="G928" s="1">
        <v>1668</v>
      </c>
      <c r="H928" s="1">
        <v>58.488824000000001</v>
      </c>
      <c r="I928" s="1">
        <v>1.0192E-2</v>
      </c>
      <c r="J928" s="1">
        <v>596.10911299999998</v>
      </c>
      <c r="K928" s="1">
        <v>0</v>
      </c>
      <c r="L928" s="1">
        <v>0</v>
      </c>
      <c r="M928" s="1" t="s">
        <v>43</v>
      </c>
      <c r="N928" s="1" t="s">
        <v>44</v>
      </c>
      <c r="O928" s="1" t="s">
        <v>44</v>
      </c>
      <c r="P928" s="2">
        <f t="shared" si="28"/>
        <v>0</v>
      </c>
      <c r="Q928" s="2">
        <f t="shared" si="29"/>
        <v>0</v>
      </c>
    </row>
    <row r="929" spans="1:17" ht="12.5" x14ac:dyDescent="0.25">
      <c r="A929" s="3">
        <v>46210</v>
      </c>
      <c r="B929" s="1" t="s">
        <v>16</v>
      </c>
      <c r="C929" s="1" t="s">
        <v>56</v>
      </c>
      <c r="D929" s="1" t="s">
        <v>41</v>
      </c>
      <c r="E929" s="1">
        <v>723.54</v>
      </c>
      <c r="F929" s="1">
        <v>19</v>
      </c>
      <c r="G929" s="1">
        <v>1287</v>
      </c>
      <c r="H929" s="1">
        <v>38.081052999999997</v>
      </c>
      <c r="I929" s="1">
        <v>1.4763E-2</v>
      </c>
      <c r="J929" s="1">
        <v>562.19114200000001</v>
      </c>
      <c r="K929" s="1">
        <v>0</v>
      </c>
      <c r="L929" s="1">
        <v>0</v>
      </c>
      <c r="M929" s="1" t="s">
        <v>43</v>
      </c>
      <c r="N929" s="1" t="s">
        <v>44</v>
      </c>
      <c r="O929" s="1" t="s">
        <v>44</v>
      </c>
      <c r="P929" s="2">
        <f t="shared" si="28"/>
        <v>0</v>
      </c>
      <c r="Q929" s="2">
        <f t="shared" si="29"/>
        <v>0</v>
      </c>
    </row>
    <row r="930" spans="1:17" ht="12.5" x14ac:dyDescent="0.25">
      <c r="A930" s="3">
        <v>46241</v>
      </c>
      <c r="B930" s="1" t="s">
        <v>16</v>
      </c>
      <c r="C930" s="1" t="s">
        <v>56</v>
      </c>
      <c r="D930" s="1" t="s">
        <v>41</v>
      </c>
      <c r="E930" s="1">
        <v>571.86</v>
      </c>
      <c r="F930" s="1">
        <v>13</v>
      </c>
      <c r="G930" s="1">
        <v>1272</v>
      </c>
      <c r="H930" s="1">
        <v>43.989230999999997</v>
      </c>
      <c r="I930" s="1">
        <v>1.022E-2</v>
      </c>
      <c r="J930" s="1">
        <v>449.57547199999999</v>
      </c>
      <c r="K930" s="1">
        <v>0.5</v>
      </c>
      <c r="L930" s="1">
        <v>6600</v>
      </c>
      <c r="M930" s="1" t="s">
        <v>43</v>
      </c>
      <c r="N930" s="1" t="s">
        <v>44</v>
      </c>
      <c r="O930" s="1" t="s">
        <v>44</v>
      </c>
      <c r="P930" s="2">
        <f t="shared" si="28"/>
        <v>7.5757575757575758E-5</v>
      </c>
      <c r="Q930" s="2">
        <f t="shared" si="29"/>
        <v>1143.72</v>
      </c>
    </row>
    <row r="931" spans="1:17" ht="12.5" x14ac:dyDescent="0.25">
      <c r="A931" s="3">
        <v>46272</v>
      </c>
      <c r="B931" s="1" t="s">
        <v>16</v>
      </c>
      <c r="C931" s="1" t="s">
        <v>56</v>
      </c>
      <c r="D931" s="1" t="s">
        <v>41</v>
      </c>
      <c r="E931" s="1">
        <v>148.88</v>
      </c>
      <c r="F931" s="1">
        <v>5</v>
      </c>
      <c r="G931" s="1">
        <v>556</v>
      </c>
      <c r="H931" s="1">
        <v>29.776</v>
      </c>
      <c r="I931" s="1">
        <v>8.9929999999999993E-3</v>
      </c>
      <c r="J931" s="1">
        <v>267.76978400000002</v>
      </c>
      <c r="K931" s="1">
        <v>0</v>
      </c>
      <c r="L931" s="1">
        <v>0</v>
      </c>
      <c r="M931" s="1" t="s">
        <v>43</v>
      </c>
      <c r="N931" s="1" t="s">
        <v>44</v>
      </c>
      <c r="O931" s="1" t="s">
        <v>44</v>
      </c>
      <c r="P931" s="2">
        <f t="shared" si="28"/>
        <v>0</v>
      </c>
      <c r="Q931" s="2">
        <f t="shared" si="29"/>
        <v>0</v>
      </c>
    </row>
    <row r="932" spans="1:17" ht="12.5" x14ac:dyDescent="0.25">
      <c r="A932" s="3">
        <v>46302</v>
      </c>
      <c r="B932" s="1" t="s">
        <v>16</v>
      </c>
      <c r="C932" s="1" t="s">
        <v>56</v>
      </c>
      <c r="D932" s="1" t="s">
        <v>41</v>
      </c>
      <c r="E932" s="1">
        <v>1325.34</v>
      </c>
      <c r="F932" s="1">
        <v>9</v>
      </c>
      <c r="G932" s="1">
        <v>1048</v>
      </c>
      <c r="H932" s="1">
        <v>147.26</v>
      </c>
      <c r="I932" s="1">
        <v>8.5880000000000001E-3</v>
      </c>
      <c r="J932" s="1">
        <v>1264.6374049999999</v>
      </c>
      <c r="K932" s="1">
        <v>0.12</v>
      </c>
      <c r="L932" s="1">
        <v>8263.8196540000008</v>
      </c>
      <c r="M932" s="1" t="s">
        <v>43</v>
      </c>
      <c r="N932" s="1" t="s">
        <v>44</v>
      </c>
      <c r="O932" s="1" t="s">
        <v>44</v>
      </c>
      <c r="P932" s="2">
        <f t="shared" si="28"/>
        <v>1.4521130061437808E-5</v>
      </c>
      <c r="Q932" s="2">
        <f t="shared" si="29"/>
        <v>11044.5</v>
      </c>
    </row>
    <row r="933" spans="1:17" ht="12.5" x14ac:dyDescent="0.25">
      <c r="A933" s="3">
        <v>46333</v>
      </c>
      <c r="B933" s="1" t="s">
        <v>16</v>
      </c>
      <c r="C933" s="1" t="s">
        <v>56</v>
      </c>
      <c r="D933" s="1" t="s">
        <v>41</v>
      </c>
      <c r="E933" s="1">
        <v>756.32</v>
      </c>
      <c r="F933" s="1">
        <v>16</v>
      </c>
      <c r="G933" s="1">
        <v>1607</v>
      </c>
      <c r="H933" s="1">
        <v>47.27</v>
      </c>
      <c r="I933" s="1">
        <v>9.9559999999999996E-3</v>
      </c>
      <c r="J933" s="1">
        <v>470.64094599999999</v>
      </c>
      <c r="K933" s="1">
        <v>0</v>
      </c>
      <c r="L933" s="1">
        <v>0</v>
      </c>
      <c r="M933" s="1" t="s">
        <v>43</v>
      </c>
      <c r="N933" s="1" t="s">
        <v>44</v>
      </c>
      <c r="O933" s="1" t="s">
        <v>44</v>
      </c>
      <c r="P933" s="2">
        <f t="shared" si="28"/>
        <v>0</v>
      </c>
      <c r="Q933" s="2">
        <f t="shared" si="29"/>
        <v>0</v>
      </c>
    </row>
    <row r="934" spans="1:17" ht="12.5" x14ac:dyDescent="0.25">
      <c r="A934" s="3">
        <v>46363</v>
      </c>
      <c r="B934" s="1" t="s">
        <v>16</v>
      </c>
      <c r="C934" s="1" t="s">
        <v>56</v>
      </c>
      <c r="D934" s="1" t="s">
        <v>41</v>
      </c>
      <c r="E934" s="1">
        <v>595.15</v>
      </c>
      <c r="F934" s="1">
        <v>17</v>
      </c>
      <c r="G934" s="1">
        <v>1262</v>
      </c>
      <c r="H934" s="1">
        <v>35.008823999999997</v>
      </c>
      <c r="I934" s="1">
        <v>1.3471E-2</v>
      </c>
      <c r="J934" s="1">
        <v>471.59271000000001</v>
      </c>
      <c r="K934" s="1">
        <v>0</v>
      </c>
      <c r="L934" s="1">
        <v>0</v>
      </c>
      <c r="M934" s="1" t="s">
        <v>43</v>
      </c>
      <c r="N934" s="1" t="s">
        <v>44</v>
      </c>
      <c r="O934" s="1" t="s">
        <v>44</v>
      </c>
      <c r="P934" s="2">
        <f t="shared" si="28"/>
        <v>0</v>
      </c>
      <c r="Q934" s="2">
        <f t="shared" si="29"/>
        <v>0</v>
      </c>
    </row>
    <row r="935" spans="1:17" ht="12.5" x14ac:dyDescent="0.25">
      <c r="A935" s="1" t="s">
        <v>137</v>
      </c>
      <c r="B935" s="1" t="s">
        <v>16</v>
      </c>
      <c r="C935" s="1" t="s">
        <v>56</v>
      </c>
      <c r="D935" s="1" t="s">
        <v>41</v>
      </c>
      <c r="E935" s="1">
        <v>583.88</v>
      </c>
      <c r="F935" s="1">
        <v>16</v>
      </c>
      <c r="G935" s="1">
        <v>936</v>
      </c>
      <c r="H935" s="1">
        <v>36.4925</v>
      </c>
      <c r="I935" s="1">
        <v>1.7094000000000002E-2</v>
      </c>
      <c r="J935" s="1">
        <v>623.80341899999996</v>
      </c>
      <c r="K935" s="1">
        <v>0</v>
      </c>
      <c r="L935" s="1">
        <v>0</v>
      </c>
      <c r="M935" s="1" t="s">
        <v>43</v>
      </c>
      <c r="N935" s="1" t="s">
        <v>44</v>
      </c>
      <c r="O935" s="1" t="s">
        <v>44</v>
      </c>
      <c r="P935" s="2">
        <f t="shared" si="28"/>
        <v>0</v>
      </c>
      <c r="Q935" s="2">
        <f t="shared" si="29"/>
        <v>0</v>
      </c>
    </row>
    <row r="936" spans="1:17" ht="12.5" x14ac:dyDescent="0.25">
      <c r="A936" s="1" t="s">
        <v>138</v>
      </c>
      <c r="B936" s="1" t="s">
        <v>16</v>
      </c>
      <c r="C936" s="1" t="s">
        <v>56</v>
      </c>
      <c r="D936" s="1" t="s">
        <v>41</v>
      </c>
      <c r="E936" s="1">
        <v>214.73</v>
      </c>
      <c r="F936" s="1">
        <v>6</v>
      </c>
      <c r="G936" s="1">
        <v>408</v>
      </c>
      <c r="H936" s="1">
        <v>35.788333000000002</v>
      </c>
      <c r="I936" s="1">
        <v>1.4706E-2</v>
      </c>
      <c r="J936" s="1">
        <v>526.29902000000004</v>
      </c>
      <c r="K936" s="1">
        <v>0</v>
      </c>
      <c r="L936" s="1">
        <v>0</v>
      </c>
      <c r="M936" s="1" t="s">
        <v>43</v>
      </c>
      <c r="N936" s="1" t="s">
        <v>44</v>
      </c>
      <c r="O936" s="1" t="s">
        <v>44</v>
      </c>
      <c r="P936" s="2">
        <f t="shared" si="28"/>
        <v>0</v>
      </c>
      <c r="Q936" s="2">
        <f t="shared" si="29"/>
        <v>0</v>
      </c>
    </row>
    <row r="937" spans="1:17" ht="12.5" x14ac:dyDescent="0.25">
      <c r="A937" s="1" t="s">
        <v>122</v>
      </c>
      <c r="B937" s="1" t="s">
        <v>16</v>
      </c>
      <c r="C937" s="1" t="s">
        <v>56</v>
      </c>
      <c r="D937" s="1" t="s">
        <v>41</v>
      </c>
      <c r="E937" s="1">
        <v>551.42999999999995</v>
      </c>
      <c r="F937" s="1">
        <v>16</v>
      </c>
      <c r="G937" s="1">
        <v>1279</v>
      </c>
      <c r="H937" s="1">
        <v>34.464374999999997</v>
      </c>
      <c r="I937" s="1">
        <v>1.251E-2</v>
      </c>
      <c r="J937" s="1">
        <v>431.14151700000002</v>
      </c>
      <c r="K937" s="1">
        <v>0</v>
      </c>
      <c r="L937" s="1">
        <v>0</v>
      </c>
      <c r="M937" s="1" t="s">
        <v>43</v>
      </c>
      <c r="N937" s="1" t="s">
        <v>44</v>
      </c>
      <c r="O937" s="1" t="s">
        <v>44</v>
      </c>
      <c r="P937" s="2">
        <f t="shared" si="28"/>
        <v>0</v>
      </c>
      <c r="Q937" s="2">
        <f t="shared" si="29"/>
        <v>0</v>
      </c>
    </row>
    <row r="938" spans="1:17" ht="12.5" x14ac:dyDescent="0.25">
      <c r="A938" s="1" t="s">
        <v>123</v>
      </c>
      <c r="B938" s="1" t="s">
        <v>16</v>
      </c>
      <c r="C938" s="1" t="s">
        <v>56</v>
      </c>
      <c r="D938" s="1" t="s">
        <v>41</v>
      </c>
      <c r="E938" s="1">
        <v>300.2</v>
      </c>
      <c r="F938" s="1">
        <v>13</v>
      </c>
      <c r="G938" s="1">
        <v>1919</v>
      </c>
      <c r="H938" s="1">
        <v>23.092307999999999</v>
      </c>
      <c r="I938" s="1">
        <v>6.7739999999999996E-3</v>
      </c>
      <c r="J938" s="1">
        <v>156.435644</v>
      </c>
      <c r="K938" s="1">
        <v>0</v>
      </c>
      <c r="L938" s="1">
        <v>0</v>
      </c>
      <c r="M938" s="1" t="s">
        <v>43</v>
      </c>
      <c r="N938" s="1" t="s">
        <v>44</v>
      </c>
      <c r="O938" s="1" t="s">
        <v>44</v>
      </c>
      <c r="P938" s="2">
        <f t="shared" si="28"/>
        <v>0</v>
      </c>
      <c r="Q938" s="2">
        <f t="shared" si="29"/>
        <v>0</v>
      </c>
    </row>
    <row r="939" spans="1:17" ht="12.5" x14ac:dyDescent="0.25">
      <c r="A939" s="1" t="s">
        <v>124</v>
      </c>
      <c r="B939" s="1" t="s">
        <v>16</v>
      </c>
      <c r="C939" s="1" t="s">
        <v>56</v>
      </c>
      <c r="D939" s="1" t="s">
        <v>41</v>
      </c>
      <c r="E939" s="1">
        <v>1590.06</v>
      </c>
      <c r="F939" s="1">
        <v>43</v>
      </c>
      <c r="G939" s="1">
        <v>2908</v>
      </c>
      <c r="H939" s="1">
        <v>36.978140000000003</v>
      </c>
      <c r="I939" s="1">
        <v>1.4787E-2</v>
      </c>
      <c r="J939" s="1">
        <v>546.78817100000003</v>
      </c>
      <c r="K939" s="1">
        <v>0</v>
      </c>
      <c r="L939" s="1">
        <v>0</v>
      </c>
      <c r="M939" s="1" t="s">
        <v>43</v>
      </c>
      <c r="N939" s="1" t="s">
        <v>44</v>
      </c>
      <c r="O939" s="1" t="s">
        <v>44</v>
      </c>
      <c r="P939" s="2">
        <f t="shared" si="28"/>
        <v>0</v>
      </c>
      <c r="Q939" s="2">
        <f t="shared" si="29"/>
        <v>0</v>
      </c>
    </row>
    <row r="940" spans="1:17" ht="12.5" x14ac:dyDescent="0.25">
      <c r="A940" s="1" t="s">
        <v>125</v>
      </c>
      <c r="B940" s="1" t="s">
        <v>16</v>
      </c>
      <c r="C940" s="1" t="s">
        <v>56</v>
      </c>
      <c r="D940" s="1" t="s">
        <v>41</v>
      </c>
      <c r="E940" s="1">
        <v>485.83</v>
      </c>
      <c r="F940" s="1">
        <v>17</v>
      </c>
      <c r="G940" s="1">
        <v>2053</v>
      </c>
      <c r="H940" s="1">
        <v>28.578234999999999</v>
      </c>
      <c r="I940" s="1">
        <v>8.2810000000000002E-3</v>
      </c>
      <c r="J940" s="1">
        <v>236.643936</v>
      </c>
      <c r="K940" s="1">
        <v>0</v>
      </c>
      <c r="L940" s="1">
        <v>0</v>
      </c>
      <c r="M940" s="1" t="s">
        <v>43</v>
      </c>
      <c r="N940" s="1" t="s">
        <v>44</v>
      </c>
      <c r="O940" s="1" t="s">
        <v>44</v>
      </c>
      <c r="P940" s="2">
        <f t="shared" si="28"/>
        <v>0</v>
      </c>
      <c r="Q940" s="2">
        <f t="shared" si="29"/>
        <v>0</v>
      </c>
    </row>
    <row r="941" spans="1:17" ht="12.5" x14ac:dyDescent="0.25">
      <c r="A941" s="1" t="s">
        <v>126</v>
      </c>
      <c r="B941" s="1" t="s">
        <v>16</v>
      </c>
      <c r="C941" s="1" t="s">
        <v>56</v>
      </c>
      <c r="D941" s="1" t="s">
        <v>41</v>
      </c>
      <c r="E941" s="1">
        <v>676.16</v>
      </c>
      <c r="F941" s="1">
        <v>21</v>
      </c>
      <c r="G941" s="1">
        <v>1760</v>
      </c>
      <c r="H941" s="1">
        <v>32.198095000000002</v>
      </c>
      <c r="I941" s="1">
        <v>1.1932E-2</v>
      </c>
      <c r="J941" s="1">
        <v>384.18181800000002</v>
      </c>
      <c r="K941" s="1">
        <v>0</v>
      </c>
      <c r="L941" s="1">
        <v>0</v>
      </c>
      <c r="M941" s="1" t="s">
        <v>43</v>
      </c>
      <c r="N941" s="1" t="s">
        <v>44</v>
      </c>
      <c r="O941" s="1" t="s">
        <v>44</v>
      </c>
      <c r="P941" s="2">
        <f t="shared" si="28"/>
        <v>0</v>
      </c>
      <c r="Q941" s="2">
        <f t="shared" si="29"/>
        <v>0</v>
      </c>
    </row>
    <row r="942" spans="1:17" ht="12.5" x14ac:dyDescent="0.25">
      <c r="A942" s="1" t="s">
        <v>127</v>
      </c>
      <c r="B942" s="1" t="s">
        <v>16</v>
      </c>
      <c r="C942" s="1" t="s">
        <v>56</v>
      </c>
      <c r="D942" s="1" t="s">
        <v>41</v>
      </c>
      <c r="E942" s="1">
        <v>164.65</v>
      </c>
      <c r="F942" s="1">
        <v>9</v>
      </c>
      <c r="G942" s="1">
        <v>1308</v>
      </c>
      <c r="H942" s="1">
        <v>18.294443999999999</v>
      </c>
      <c r="I942" s="1">
        <v>6.881E-3</v>
      </c>
      <c r="J942" s="1">
        <v>125.879205</v>
      </c>
      <c r="K942" s="1">
        <v>0</v>
      </c>
      <c r="L942" s="1">
        <v>0</v>
      </c>
      <c r="M942" s="1" t="s">
        <v>43</v>
      </c>
      <c r="N942" s="1" t="s">
        <v>44</v>
      </c>
      <c r="O942" s="1" t="s">
        <v>44</v>
      </c>
      <c r="P942" s="2">
        <f t="shared" si="28"/>
        <v>0</v>
      </c>
      <c r="Q942" s="2">
        <f t="shared" si="29"/>
        <v>0</v>
      </c>
    </row>
    <row r="943" spans="1:17" ht="12.5" x14ac:dyDescent="0.25">
      <c r="A943" s="1" t="s">
        <v>139</v>
      </c>
      <c r="B943" s="1" t="s">
        <v>16</v>
      </c>
      <c r="C943" s="1" t="s">
        <v>56</v>
      </c>
      <c r="D943" s="1" t="s">
        <v>41</v>
      </c>
      <c r="E943" s="1">
        <v>143</v>
      </c>
      <c r="F943" s="1">
        <v>5</v>
      </c>
      <c r="G943" s="1">
        <v>188</v>
      </c>
      <c r="H943" s="1">
        <v>28.6</v>
      </c>
      <c r="I943" s="1">
        <v>2.6596000000000002E-2</v>
      </c>
      <c r="J943" s="1">
        <v>760.63829799999996</v>
      </c>
      <c r="K943" s="1">
        <v>0</v>
      </c>
      <c r="L943" s="1">
        <v>0</v>
      </c>
      <c r="M943" s="1" t="s">
        <v>43</v>
      </c>
      <c r="N943" s="1" t="s">
        <v>44</v>
      </c>
      <c r="O943" s="1" t="s">
        <v>44</v>
      </c>
      <c r="P943" s="2">
        <f t="shared" si="28"/>
        <v>0</v>
      </c>
      <c r="Q943" s="2">
        <f t="shared" si="29"/>
        <v>0</v>
      </c>
    </row>
    <row r="944" spans="1:17" ht="12.5" x14ac:dyDescent="0.25">
      <c r="A944" s="1" t="s">
        <v>128</v>
      </c>
      <c r="B944" s="1" t="s">
        <v>16</v>
      </c>
      <c r="C944" s="1" t="s">
        <v>56</v>
      </c>
      <c r="D944" s="1" t="s">
        <v>41</v>
      </c>
      <c r="E944" s="1">
        <v>426.52</v>
      </c>
      <c r="F944" s="1">
        <v>10</v>
      </c>
      <c r="G944" s="1">
        <v>1028</v>
      </c>
      <c r="H944" s="1">
        <v>42.652000000000001</v>
      </c>
      <c r="I944" s="1">
        <v>9.7280000000000005E-3</v>
      </c>
      <c r="J944" s="1">
        <v>414.90272399999998</v>
      </c>
      <c r="K944" s="1">
        <v>0</v>
      </c>
      <c r="L944" s="1">
        <v>0</v>
      </c>
      <c r="M944" s="1" t="s">
        <v>43</v>
      </c>
      <c r="N944" s="1" t="s">
        <v>44</v>
      </c>
      <c r="O944" s="1" t="s">
        <v>44</v>
      </c>
      <c r="P944" s="2">
        <f t="shared" si="28"/>
        <v>0</v>
      </c>
      <c r="Q944" s="2">
        <f t="shared" si="29"/>
        <v>0</v>
      </c>
    </row>
    <row r="945" spans="1:17" ht="12.5" x14ac:dyDescent="0.25">
      <c r="A945" s="1" t="s">
        <v>129</v>
      </c>
      <c r="B945" s="1" t="s">
        <v>16</v>
      </c>
      <c r="C945" s="1" t="s">
        <v>56</v>
      </c>
      <c r="D945" s="1" t="s">
        <v>41</v>
      </c>
      <c r="E945" s="1">
        <v>721.74</v>
      </c>
      <c r="F945" s="1">
        <v>14</v>
      </c>
      <c r="G945" s="1">
        <v>830</v>
      </c>
      <c r="H945" s="1">
        <v>51.552857000000003</v>
      </c>
      <c r="I945" s="1">
        <v>1.6867E-2</v>
      </c>
      <c r="J945" s="1">
        <v>869.56626500000004</v>
      </c>
      <c r="K945" s="1">
        <v>0</v>
      </c>
      <c r="L945" s="1">
        <v>0</v>
      </c>
      <c r="M945" s="1" t="s">
        <v>43</v>
      </c>
      <c r="N945" s="1" t="s">
        <v>44</v>
      </c>
      <c r="O945" s="1" t="s">
        <v>44</v>
      </c>
      <c r="P945" s="2">
        <f t="shared" si="28"/>
        <v>0</v>
      </c>
      <c r="Q945" s="2">
        <f t="shared" si="29"/>
        <v>0</v>
      </c>
    </row>
    <row r="946" spans="1:17" ht="12.5" x14ac:dyDescent="0.25">
      <c r="A946" s="1" t="s">
        <v>130</v>
      </c>
      <c r="B946" s="1" t="s">
        <v>16</v>
      </c>
      <c r="C946" s="1" t="s">
        <v>56</v>
      </c>
      <c r="D946" s="1" t="s">
        <v>41</v>
      </c>
      <c r="E946" s="1">
        <v>1073.2</v>
      </c>
      <c r="F946" s="1">
        <v>12</v>
      </c>
      <c r="G946" s="1">
        <v>1350</v>
      </c>
      <c r="H946" s="1">
        <v>89.433333000000005</v>
      </c>
      <c r="I946" s="1">
        <v>8.8889999999999993E-3</v>
      </c>
      <c r="J946" s="1">
        <v>794.96296299999995</v>
      </c>
      <c r="K946" s="1">
        <v>0</v>
      </c>
      <c r="L946" s="1">
        <v>0</v>
      </c>
      <c r="M946" s="1" t="s">
        <v>43</v>
      </c>
      <c r="N946" s="1" t="s">
        <v>44</v>
      </c>
      <c r="O946" s="1" t="s">
        <v>44</v>
      </c>
      <c r="P946" s="2">
        <f t="shared" si="28"/>
        <v>0</v>
      </c>
      <c r="Q946" s="2">
        <f t="shared" si="29"/>
        <v>0</v>
      </c>
    </row>
    <row r="947" spans="1:17" ht="12.5" x14ac:dyDescent="0.25">
      <c r="A947" s="1" t="s">
        <v>131</v>
      </c>
      <c r="B947" s="1" t="s">
        <v>16</v>
      </c>
      <c r="C947" s="1" t="s">
        <v>56</v>
      </c>
      <c r="D947" s="1" t="s">
        <v>41</v>
      </c>
      <c r="E947" s="1">
        <v>1319.43</v>
      </c>
      <c r="F947" s="1">
        <v>6</v>
      </c>
      <c r="G947" s="1">
        <v>390</v>
      </c>
      <c r="H947" s="1">
        <v>219.905</v>
      </c>
      <c r="I947" s="1">
        <v>1.5384999999999999E-2</v>
      </c>
      <c r="J947" s="1">
        <v>3383.1538460000002</v>
      </c>
      <c r="K947" s="1">
        <v>0.88</v>
      </c>
      <c r="L947" s="1">
        <v>57874.780350000001</v>
      </c>
      <c r="M947" s="1" t="s">
        <v>43</v>
      </c>
      <c r="N947" s="1" t="s">
        <v>44</v>
      </c>
      <c r="O947" s="1" t="s">
        <v>44</v>
      </c>
      <c r="P947" s="2">
        <f t="shared" si="28"/>
        <v>1.5205241292980562E-5</v>
      </c>
      <c r="Q947" s="2">
        <f t="shared" si="29"/>
        <v>1499.3522727272727</v>
      </c>
    </row>
    <row r="948" spans="1:17" ht="12.5" x14ac:dyDescent="0.25">
      <c r="A948" s="1" t="s">
        <v>132</v>
      </c>
      <c r="B948" s="1" t="s">
        <v>16</v>
      </c>
      <c r="C948" s="1" t="s">
        <v>56</v>
      </c>
      <c r="D948" s="1" t="s">
        <v>41</v>
      </c>
      <c r="E948" s="1">
        <v>212.81</v>
      </c>
      <c r="F948" s="1">
        <v>10</v>
      </c>
      <c r="G948" s="1">
        <v>436</v>
      </c>
      <c r="H948" s="1">
        <v>21.280999999999999</v>
      </c>
      <c r="I948" s="1">
        <v>2.2936000000000002E-2</v>
      </c>
      <c r="J948" s="1">
        <v>488.09633000000002</v>
      </c>
      <c r="K948" s="1">
        <v>0</v>
      </c>
      <c r="L948" s="1">
        <v>0</v>
      </c>
      <c r="M948" s="1" t="s">
        <v>43</v>
      </c>
      <c r="N948" s="1" t="s">
        <v>44</v>
      </c>
      <c r="O948" s="1" t="s">
        <v>44</v>
      </c>
      <c r="P948" s="2">
        <f t="shared" si="28"/>
        <v>0</v>
      </c>
      <c r="Q948" s="2">
        <f t="shared" si="29"/>
        <v>0</v>
      </c>
    </row>
    <row r="949" spans="1:17" ht="12.5" x14ac:dyDescent="0.25">
      <c r="A949" s="1" t="s">
        <v>133</v>
      </c>
      <c r="B949" s="1" t="s">
        <v>16</v>
      </c>
      <c r="C949" s="1" t="s">
        <v>56</v>
      </c>
      <c r="D949" s="1" t="s">
        <v>41</v>
      </c>
      <c r="E949" s="1">
        <v>110.06</v>
      </c>
      <c r="F949" s="1">
        <v>6</v>
      </c>
      <c r="G949" s="1">
        <v>676</v>
      </c>
      <c r="H949" s="1">
        <v>18.343333000000001</v>
      </c>
      <c r="I949" s="1">
        <v>8.8760000000000002E-3</v>
      </c>
      <c r="J949" s="1">
        <v>162.81065100000001</v>
      </c>
      <c r="K949" s="1">
        <v>0</v>
      </c>
      <c r="L949" s="1">
        <v>0</v>
      </c>
      <c r="M949" s="1" t="s">
        <v>43</v>
      </c>
      <c r="N949" s="1" t="s">
        <v>44</v>
      </c>
      <c r="O949" s="1" t="s">
        <v>44</v>
      </c>
      <c r="P949" s="2">
        <f t="shared" si="28"/>
        <v>0</v>
      </c>
      <c r="Q949" s="2">
        <f t="shared" si="29"/>
        <v>0</v>
      </c>
    </row>
    <row r="950" spans="1:17" ht="12.5" x14ac:dyDescent="0.25">
      <c r="A950" s="1" t="s">
        <v>134</v>
      </c>
      <c r="B950" s="1" t="s">
        <v>16</v>
      </c>
      <c r="C950" s="1" t="s">
        <v>56</v>
      </c>
      <c r="D950" s="1" t="s">
        <v>41</v>
      </c>
      <c r="E950" s="1">
        <v>527.59</v>
      </c>
      <c r="F950" s="1">
        <v>13</v>
      </c>
      <c r="G950" s="1">
        <v>683</v>
      </c>
      <c r="H950" s="1">
        <v>40.583846000000001</v>
      </c>
      <c r="I950" s="1">
        <v>1.9033999999999999E-2</v>
      </c>
      <c r="J950" s="1">
        <v>772.45973600000002</v>
      </c>
      <c r="K950" s="1">
        <v>0</v>
      </c>
      <c r="L950" s="1">
        <v>0</v>
      </c>
      <c r="M950" s="1" t="s">
        <v>43</v>
      </c>
      <c r="N950" s="1" t="s">
        <v>44</v>
      </c>
      <c r="O950" s="1" t="s">
        <v>44</v>
      </c>
      <c r="P950" s="2">
        <f t="shared" si="28"/>
        <v>0</v>
      </c>
      <c r="Q950" s="2">
        <f t="shared" si="29"/>
        <v>0</v>
      </c>
    </row>
    <row r="951" spans="1:17" ht="12.5" x14ac:dyDescent="0.25">
      <c r="A951" s="1" t="s">
        <v>135</v>
      </c>
      <c r="B951" s="1" t="s">
        <v>16</v>
      </c>
      <c r="C951" s="1" t="s">
        <v>56</v>
      </c>
      <c r="D951" s="1" t="s">
        <v>41</v>
      </c>
      <c r="E951" s="1">
        <v>229.938006</v>
      </c>
      <c r="F951" s="1">
        <v>14</v>
      </c>
      <c r="G951" s="1">
        <v>813</v>
      </c>
      <c r="H951" s="1">
        <v>16.424143000000001</v>
      </c>
      <c r="I951" s="1">
        <v>1.7219999999999999E-2</v>
      </c>
      <c r="J951" s="1">
        <v>282.82657599999999</v>
      </c>
      <c r="K951" s="1">
        <v>0</v>
      </c>
      <c r="L951" s="1">
        <v>0</v>
      </c>
      <c r="M951" s="1" t="s">
        <v>43</v>
      </c>
      <c r="N951" s="1" t="s">
        <v>44</v>
      </c>
      <c r="O951" s="1" t="s">
        <v>44</v>
      </c>
      <c r="P951" s="2">
        <f t="shared" si="28"/>
        <v>0</v>
      </c>
      <c r="Q951" s="2">
        <f t="shared" si="29"/>
        <v>0</v>
      </c>
    </row>
    <row r="952" spans="1:17" ht="12.5" x14ac:dyDescent="0.25">
      <c r="A952" s="1" t="s">
        <v>136</v>
      </c>
      <c r="B952" s="1" t="s">
        <v>16</v>
      </c>
      <c r="C952" s="1" t="s">
        <v>56</v>
      </c>
      <c r="D952" s="1" t="s">
        <v>41</v>
      </c>
      <c r="E952" s="1">
        <v>80.539458999999994</v>
      </c>
      <c r="F952" s="1">
        <v>5</v>
      </c>
      <c r="G952" s="1">
        <v>476</v>
      </c>
      <c r="H952" s="1">
        <v>16.107892</v>
      </c>
      <c r="I952" s="1">
        <v>1.0503999999999999E-2</v>
      </c>
      <c r="J952" s="1">
        <v>169.20054400000001</v>
      </c>
      <c r="K952" s="1">
        <v>0</v>
      </c>
      <c r="L952" s="1">
        <v>0</v>
      </c>
      <c r="M952" s="1" t="s">
        <v>43</v>
      </c>
      <c r="N952" s="1" t="s">
        <v>44</v>
      </c>
      <c r="O952" s="1" t="s">
        <v>44</v>
      </c>
      <c r="P952" s="2">
        <f t="shared" si="28"/>
        <v>0</v>
      </c>
      <c r="Q952" s="2">
        <f t="shared" si="29"/>
        <v>0</v>
      </c>
    </row>
    <row r="953" spans="1:17" ht="12.5" x14ac:dyDescent="0.25">
      <c r="A953" s="3">
        <v>46029</v>
      </c>
      <c r="B953" s="1" t="s">
        <v>16</v>
      </c>
      <c r="C953" s="1" t="s">
        <v>56</v>
      </c>
      <c r="D953" s="1" t="s">
        <v>41</v>
      </c>
      <c r="E953" s="1">
        <v>0</v>
      </c>
      <c r="F953" s="1">
        <v>0</v>
      </c>
      <c r="G953" s="1">
        <v>49</v>
      </c>
      <c r="I953" s="1">
        <v>0</v>
      </c>
      <c r="J953" s="1">
        <v>0</v>
      </c>
      <c r="K953" s="1">
        <v>0</v>
      </c>
      <c r="L953" s="1">
        <v>0</v>
      </c>
      <c r="M953" s="1" t="s">
        <v>19</v>
      </c>
      <c r="N953" s="1" t="s">
        <v>47</v>
      </c>
      <c r="O953" s="1" t="s">
        <v>47</v>
      </c>
      <c r="P953" s="2">
        <f t="shared" si="28"/>
        <v>0</v>
      </c>
      <c r="Q953" s="2">
        <f t="shared" si="29"/>
        <v>0</v>
      </c>
    </row>
    <row r="954" spans="1:17" ht="12.5" x14ac:dyDescent="0.25">
      <c r="A954" s="3">
        <v>46210</v>
      </c>
      <c r="B954" s="1" t="s">
        <v>16</v>
      </c>
      <c r="C954" s="1" t="s">
        <v>56</v>
      </c>
      <c r="D954" s="1" t="s">
        <v>41</v>
      </c>
      <c r="E954" s="1">
        <v>0</v>
      </c>
      <c r="F954" s="1">
        <v>0</v>
      </c>
      <c r="G954" s="1">
        <v>75</v>
      </c>
      <c r="I954" s="1">
        <v>0</v>
      </c>
      <c r="J954" s="1">
        <v>0</v>
      </c>
      <c r="K954" s="1">
        <v>0</v>
      </c>
      <c r="L954" s="1">
        <v>0</v>
      </c>
      <c r="M954" s="1" t="s">
        <v>19</v>
      </c>
      <c r="N954" s="1" t="s">
        <v>47</v>
      </c>
      <c r="O954" s="1" t="s">
        <v>47</v>
      </c>
      <c r="P954" s="2">
        <f t="shared" si="28"/>
        <v>0</v>
      </c>
      <c r="Q954" s="2">
        <f t="shared" si="29"/>
        <v>0</v>
      </c>
    </row>
    <row r="955" spans="1:17" ht="12.5" x14ac:dyDescent="0.25">
      <c r="A955" s="1" t="s">
        <v>138</v>
      </c>
      <c r="B955" s="1" t="s">
        <v>16</v>
      </c>
      <c r="C955" s="1" t="s">
        <v>56</v>
      </c>
      <c r="D955" s="1" t="s">
        <v>41</v>
      </c>
      <c r="E955" s="1">
        <v>0</v>
      </c>
      <c r="F955" s="1">
        <v>0</v>
      </c>
      <c r="G955" s="1">
        <v>50</v>
      </c>
      <c r="I955" s="1">
        <v>0</v>
      </c>
      <c r="J955" s="1">
        <v>0</v>
      </c>
      <c r="K955" s="1">
        <v>0</v>
      </c>
      <c r="L955" s="1">
        <v>0</v>
      </c>
      <c r="M955" s="1" t="s">
        <v>19</v>
      </c>
      <c r="N955" s="1" t="s">
        <v>47</v>
      </c>
      <c r="O955" s="1" t="s">
        <v>47</v>
      </c>
      <c r="P955" s="2">
        <f t="shared" si="28"/>
        <v>0</v>
      </c>
      <c r="Q955" s="2">
        <f t="shared" si="29"/>
        <v>0</v>
      </c>
    </row>
    <row r="956" spans="1:17" ht="12.5" x14ac:dyDescent="0.25">
      <c r="A956" s="1" t="s">
        <v>135</v>
      </c>
      <c r="B956" s="1" t="s">
        <v>16</v>
      </c>
      <c r="C956" s="1" t="s">
        <v>56</v>
      </c>
      <c r="D956" s="1" t="s">
        <v>41</v>
      </c>
      <c r="E956" s="1">
        <v>0</v>
      </c>
      <c r="F956" s="1">
        <v>0</v>
      </c>
      <c r="G956" s="1">
        <v>201</v>
      </c>
      <c r="I956" s="1">
        <v>0</v>
      </c>
      <c r="J956" s="1">
        <v>0</v>
      </c>
      <c r="K956" s="1">
        <v>0</v>
      </c>
      <c r="L956" s="1">
        <v>0</v>
      </c>
      <c r="M956" s="1" t="s">
        <v>19</v>
      </c>
      <c r="N956" s="1" t="s">
        <v>47</v>
      </c>
      <c r="O956" s="1" t="s">
        <v>47</v>
      </c>
      <c r="P956" s="2">
        <f t="shared" si="28"/>
        <v>0</v>
      </c>
      <c r="Q956" s="2">
        <f t="shared" si="29"/>
        <v>0</v>
      </c>
    </row>
    <row r="957" spans="1:17" ht="12.5" x14ac:dyDescent="0.25">
      <c r="A957" s="3">
        <v>46060</v>
      </c>
      <c r="B957" s="1" t="s">
        <v>16</v>
      </c>
      <c r="C957" s="1" t="s">
        <v>67</v>
      </c>
      <c r="D957" s="1" t="s">
        <v>41</v>
      </c>
      <c r="E957" s="1">
        <v>0</v>
      </c>
      <c r="F957" s="1">
        <v>0</v>
      </c>
      <c r="G957" s="1">
        <v>8</v>
      </c>
      <c r="I957" s="1">
        <v>0</v>
      </c>
      <c r="J957" s="1">
        <v>0</v>
      </c>
      <c r="K957" s="1">
        <v>0</v>
      </c>
      <c r="L957" s="1">
        <v>0</v>
      </c>
      <c r="M957" s="1" t="s">
        <v>31</v>
      </c>
      <c r="N957" s="1" t="s">
        <v>31</v>
      </c>
      <c r="O957" s="1" t="s">
        <v>31</v>
      </c>
      <c r="P957" s="2">
        <f t="shared" si="28"/>
        <v>0</v>
      </c>
      <c r="Q957" s="2">
        <f t="shared" si="29"/>
        <v>0</v>
      </c>
    </row>
    <row r="958" spans="1:17" ht="12.5" x14ac:dyDescent="0.25">
      <c r="A958" s="1" t="s">
        <v>137</v>
      </c>
      <c r="B958" s="1" t="s">
        <v>16</v>
      </c>
      <c r="C958" s="1" t="s">
        <v>56</v>
      </c>
      <c r="D958" s="1" t="s">
        <v>41</v>
      </c>
      <c r="E958" s="1">
        <v>0</v>
      </c>
      <c r="F958" s="1">
        <v>0</v>
      </c>
      <c r="G958" s="1">
        <v>119</v>
      </c>
      <c r="I958" s="1">
        <v>0</v>
      </c>
      <c r="J958" s="1">
        <v>0</v>
      </c>
      <c r="K958" s="1">
        <v>0</v>
      </c>
      <c r="L958" s="1">
        <v>0</v>
      </c>
      <c r="M958" s="1" t="s">
        <v>19</v>
      </c>
      <c r="N958" s="1" t="s">
        <v>69</v>
      </c>
      <c r="O958" s="1" t="s">
        <v>69</v>
      </c>
      <c r="P958" s="2">
        <f t="shared" si="28"/>
        <v>0</v>
      </c>
      <c r="Q958" s="2">
        <f t="shared" si="29"/>
        <v>0</v>
      </c>
    </row>
    <row r="959" spans="1:17" ht="12.5" x14ac:dyDescent="0.25">
      <c r="A959" s="1" t="s">
        <v>138</v>
      </c>
      <c r="B959" s="1" t="s">
        <v>16</v>
      </c>
      <c r="C959" s="1" t="s">
        <v>46</v>
      </c>
      <c r="D959" s="1" t="s">
        <v>41</v>
      </c>
      <c r="E959" s="1">
        <v>0</v>
      </c>
      <c r="F959" s="1">
        <v>0</v>
      </c>
      <c r="G959" s="1">
        <v>2</v>
      </c>
      <c r="I959" s="1">
        <v>0</v>
      </c>
      <c r="J959" s="1">
        <v>0</v>
      </c>
      <c r="K959" s="1">
        <v>0</v>
      </c>
      <c r="L959" s="1">
        <v>0</v>
      </c>
      <c r="M959" s="1" t="s">
        <v>19</v>
      </c>
      <c r="N959" s="1" t="s">
        <v>47</v>
      </c>
      <c r="O959" s="1" t="s">
        <v>47</v>
      </c>
      <c r="P959" s="2">
        <f t="shared" si="28"/>
        <v>0</v>
      </c>
      <c r="Q959" s="2">
        <f t="shared" si="29"/>
        <v>0</v>
      </c>
    </row>
    <row r="960" spans="1:17" ht="12.5" x14ac:dyDescent="0.25">
      <c r="A960" s="3">
        <v>46060</v>
      </c>
      <c r="B960" s="1" t="s">
        <v>16</v>
      </c>
      <c r="C960" s="1" t="s">
        <v>56</v>
      </c>
      <c r="D960" s="1" t="s">
        <v>41</v>
      </c>
      <c r="E960" s="1">
        <v>0</v>
      </c>
      <c r="F960" s="1">
        <v>0</v>
      </c>
      <c r="G960" s="1">
        <v>2</v>
      </c>
      <c r="I960" s="1">
        <v>0</v>
      </c>
      <c r="J960" s="1">
        <v>0</v>
      </c>
      <c r="K960" s="1">
        <v>0</v>
      </c>
      <c r="L960" s="1">
        <v>0</v>
      </c>
      <c r="M960" s="1" t="s">
        <v>19</v>
      </c>
      <c r="N960" s="1" t="s">
        <v>69</v>
      </c>
      <c r="O960" s="1" t="s">
        <v>69</v>
      </c>
      <c r="P960" s="2">
        <f t="shared" si="28"/>
        <v>0</v>
      </c>
      <c r="Q960" s="2">
        <f t="shared" si="29"/>
        <v>0</v>
      </c>
    </row>
    <row r="961" spans="1:17" ht="12.5" x14ac:dyDescent="0.25">
      <c r="A961" s="1" t="s">
        <v>131</v>
      </c>
      <c r="B961" s="1" t="s">
        <v>16</v>
      </c>
      <c r="C961" s="1" t="s">
        <v>56</v>
      </c>
      <c r="D961" s="1" t="s">
        <v>41</v>
      </c>
      <c r="E961" s="1">
        <v>0</v>
      </c>
      <c r="F961" s="1">
        <v>0</v>
      </c>
      <c r="G961" s="1">
        <v>71</v>
      </c>
      <c r="I961" s="1">
        <v>0</v>
      </c>
      <c r="J961" s="1">
        <v>0</v>
      </c>
      <c r="K961" s="1">
        <v>0</v>
      </c>
      <c r="L961" s="1">
        <v>0</v>
      </c>
      <c r="M961" s="1" t="s">
        <v>19</v>
      </c>
      <c r="N961" s="1" t="s">
        <v>20</v>
      </c>
      <c r="O961" s="1" t="s">
        <v>20</v>
      </c>
      <c r="P961" s="2">
        <f t="shared" si="28"/>
        <v>0</v>
      </c>
      <c r="Q961" s="2">
        <f t="shared" si="29"/>
        <v>0</v>
      </c>
    </row>
    <row r="962" spans="1:17" ht="12.5" x14ac:dyDescent="0.25">
      <c r="A962" s="1" t="s">
        <v>136</v>
      </c>
      <c r="B962" s="1" t="s">
        <v>16</v>
      </c>
      <c r="C962" s="1" t="s">
        <v>46</v>
      </c>
      <c r="D962" s="1" t="s">
        <v>41</v>
      </c>
      <c r="E962" s="1">
        <v>0</v>
      </c>
      <c r="F962" s="1">
        <v>0</v>
      </c>
      <c r="G962" s="1">
        <v>5</v>
      </c>
      <c r="I962" s="1">
        <v>0</v>
      </c>
      <c r="J962" s="1">
        <v>0</v>
      </c>
      <c r="K962" s="1">
        <v>0</v>
      </c>
      <c r="L962" s="1">
        <v>0</v>
      </c>
      <c r="M962" s="1" t="s">
        <v>43</v>
      </c>
      <c r="N962" s="1" t="s">
        <v>44</v>
      </c>
      <c r="O962" s="1" t="s">
        <v>44</v>
      </c>
      <c r="P962" s="2">
        <f t="shared" si="28"/>
        <v>0</v>
      </c>
      <c r="Q962" s="2">
        <f t="shared" si="29"/>
        <v>0</v>
      </c>
    </row>
    <row r="963" spans="1:17" ht="12.5" x14ac:dyDescent="0.25">
      <c r="A963" s="1" t="s">
        <v>137</v>
      </c>
      <c r="B963" s="1" t="s">
        <v>16</v>
      </c>
      <c r="C963" s="1" t="s">
        <v>46</v>
      </c>
      <c r="D963" s="1" t="s">
        <v>41</v>
      </c>
      <c r="E963" s="1">
        <v>0</v>
      </c>
      <c r="F963" s="1">
        <v>0</v>
      </c>
      <c r="G963" s="1">
        <v>6</v>
      </c>
      <c r="I963" s="1">
        <v>0</v>
      </c>
      <c r="J963" s="1">
        <v>0</v>
      </c>
      <c r="K963" s="1">
        <v>0</v>
      </c>
      <c r="L963" s="1">
        <v>0</v>
      </c>
      <c r="M963" s="1" t="s">
        <v>19</v>
      </c>
      <c r="N963" s="1" t="s">
        <v>47</v>
      </c>
      <c r="O963" s="1" t="s">
        <v>47</v>
      </c>
      <c r="P963" s="2">
        <f t="shared" ref="P963:P972" si="30">IFERROR(K963/ L963, 0)</f>
        <v>0</v>
      </c>
      <c r="Q963" s="2">
        <f t="shared" ref="Q963:Q972" si="31">IFERROR(E963/K963, 0)</f>
        <v>0</v>
      </c>
    </row>
    <row r="964" spans="1:17" ht="12.5" x14ac:dyDescent="0.25">
      <c r="A964" s="3">
        <v>46060</v>
      </c>
      <c r="B964" s="1" t="s">
        <v>16</v>
      </c>
      <c r="C964" s="1" t="s">
        <v>56</v>
      </c>
      <c r="D964" s="1" t="s">
        <v>41</v>
      </c>
      <c r="E964" s="1">
        <v>0</v>
      </c>
      <c r="F964" s="1">
        <v>0</v>
      </c>
      <c r="G964" s="1">
        <v>7</v>
      </c>
      <c r="I964" s="1">
        <v>0</v>
      </c>
      <c r="J964" s="1">
        <v>0</v>
      </c>
      <c r="K964" s="1">
        <v>0</v>
      </c>
      <c r="L964" s="1">
        <v>0</v>
      </c>
      <c r="M964" s="1" t="s">
        <v>43</v>
      </c>
      <c r="N964" s="1" t="s">
        <v>44</v>
      </c>
      <c r="O964" s="1" t="s">
        <v>44</v>
      </c>
      <c r="P964" s="2">
        <f t="shared" si="30"/>
        <v>0</v>
      </c>
      <c r="Q964" s="2">
        <f t="shared" si="31"/>
        <v>0</v>
      </c>
    </row>
    <row r="965" spans="1:17" ht="12.5" x14ac:dyDescent="0.25">
      <c r="A965" s="1" t="s">
        <v>135</v>
      </c>
      <c r="B965" s="1" t="s">
        <v>16</v>
      </c>
      <c r="C965" s="1" t="s">
        <v>56</v>
      </c>
      <c r="D965" s="1" t="s">
        <v>41</v>
      </c>
      <c r="E965" s="1">
        <v>0</v>
      </c>
      <c r="F965" s="1">
        <v>0</v>
      </c>
      <c r="G965" s="1">
        <v>240</v>
      </c>
      <c r="I965" s="1">
        <v>0</v>
      </c>
      <c r="J965" s="1">
        <v>0</v>
      </c>
      <c r="K965" s="1">
        <v>0</v>
      </c>
      <c r="L965" s="1">
        <v>0</v>
      </c>
      <c r="M965" s="1" t="s">
        <v>19</v>
      </c>
      <c r="N965" s="1" t="s">
        <v>69</v>
      </c>
      <c r="O965" s="1" t="s">
        <v>69</v>
      </c>
      <c r="P965" s="2">
        <f t="shared" si="30"/>
        <v>0</v>
      </c>
      <c r="Q965" s="2">
        <f t="shared" si="31"/>
        <v>0</v>
      </c>
    </row>
    <row r="966" spans="1:17" ht="12.5" x14ac:dyDescent="0.25">
      <c r="A966" s="3">
        <v>46363</v>
      </c>
      <c r="B966" s="1" t="s">
        <v>16</v>
      </c>
      <c r="C966" s="1" t="s">
        <v>56</v>
      </c>
      <c r="D966" s="1" t="s">
        <v>41</v>
      </c>
      <c r="E966" s="1">
        <v>6.5</v>
      </c>
      <c r="F966" s="1">
        <v>1</v>
      </c>
      <c r="G966" s="1">
        <v>131</v>
      </c>
      <c r="H966" s="1">
        <v>6.5</v>
      </c>
      <c r="I966" s="1">
        <v>7.6340000000000002E-3</v>
      </c>
      <c r="J966" s="1">
        <v>49.618321000000002</v>
      </c>
      <c r="K966" s="1">
        <v>0</v>
      </c>
      <c r="L966" s="1">
        <v>0</v>
      </c>
      <c r="M966" s="1" t="s">
        <v>19</v>
      </c>
      <c r="N966" s="1" t="s">
        <v>69</v>
      </c>
      <c r="O966" s="1" t="s">
        <v>69</v>
      </c>
      <c r="P966" s="2">
        <f t="shared" si="30"/>
        <v>0</v>
      </c>
      <c r="Q966" s="2">
        <f t="shared" si="31"/>
        <v>0</v>
      </c>
    </row>
    <row r="967" spans="1:17" ht="12.5" x14ac:dyDescent="0.25">
      <c r="A967" s="1" t="s">
        <v>139</v>
      </c>
      <c r="B967" s="1" t="s">
        <v>16</v>
      </c>
      <c r="C967" s="1" t="s">
        <v>56</v>
      </c>
      <c r="D967" s="1" t="s">
        <v>41</v>
      </c>
      <c r="E967" s="1">
        <v>0</v>
      </c>
      <c r="F967" s="1">
        <v>0</v>
      </c>
      <c r="G967" s="1">
        <v>17</v>
      </c>
      <c r="I967" s="1">
        <v>0</v>
      </c>
      <c r="J967" s="1">
        <v>0</v>
      </c>
      <c r="K967" s="1">
        <v>0</v>
      </c>
      <c r="L967" s="1">
        <v>0</v>
      </c>
      <c r="M967" s="1" t="s">
        <v>19</v>
      </c>
      <c r="N967" s="1" t="s">
        <v>47</v>
      </c>
      <c r="O967" s="1" t="s">
        <v>47</v>
      </c>
      <c r="P967" s="2">
        <f t="shared" si="30"/>
        <v>0</v>
      </c>
      <c r="Q967" s="2">
        <f t="shared" si="31"/>
        <v>0</v>
      </c>
    </row>
    <row r="968" spans="1:17" ht="12.5" x14ac:dyDescent="0.25">
      <c r="A968" s="1" t="s">
        <v>139</v>
      </c>
      <c r="B968" s="1" t="s">
        <v>16</v>
      </c>
      <c r="C968" s="1" t="s">
        <v>56</v>
      </c>
      <c r="D968" s="1" t="s">
        <v>41</v>
      </c>
      <c r="E968" s="1">
        <v>0</v>
      </c>
      <c r="F968" s="1">
        <v>0</v>
      </c>
      <c r="G968" s="1">
        <v>25</v>
      </c>
      <c r="I968" s="1">
        <v>0</v>
      </c>
      <c r="J968" s="1">
        <v>0</v>
      </c>
      <c r="K968" s="1">
        <v>0</v>
      </c>
      <c r="L968" s="1">
        <v>0</v>
      </c>
      <c r="M968" s="1" t="s">
        <v>19</v>
      </c>
      <c r="N968" s="1" t="s">
        <v>20</v>
      </c>
      <c r="O968" s="1" t="s">
        <v>20</v>
      </c>
      <c r="P968" s="2">
        <f t="shared" si="30"/>
        <v>0</v>
      </c>
      <c r="Q968" s="2">
        <f t="shared" si="31"/>
        <v>0</v>
      </c>
    </row>
    <row r="969" spans="1:17" ht="12.5" x14ac:dyDescent="0.25">
      <c r="A969" s="1" t="s">
        <v>131</v>
      </c>
      <c r="B969" s="1" t="s">
        <v>16</v>
      </c>
      <c r="C969" s="1" t="s">
        <v>56</v>
      </c>
      <c r="D969" s="1" t="s">
        <v>41</v>
      </c>
      <c r="E969" s="1">
        <v>0</v>
      </c>
      <c r="F969" s="1">
        <v>0</v>
      </c>
      <c r="G969" s="1">
        <v>27</v>
      </c>
      <c r="I969" s="1">
        <v>0</v>
      </c>
      <c r="J969" s="1">
        <v>0</v>
      </c>
      <c r="K969" s="1">
        <v>0</v>
      </c>
      <c r="L969" s="1">
        <v>0</v>
      </c>
      <c r="M969" s="1" t="s">
        <v>19</v>
      </c>
      <c r="N969" s="1" t="s">
        <v>47</v>
      </c>
      <c r="O969" s="1" t="s">
        <v>47</v>
      </c>
      <c r="P969" s="2">
        <f t="shared" si="30"/>
        <v>0</v>
      </c>
      <c r="Q969" s="2">
        <f t="shared" si="31"/>
        <v>0</v>
      </c>
    </row>
    <row r="970" spans="1:17" ht="12.5" x14ac:dyDescent="0.25">
      <c r="A970" s="3">
        <v>46302</v>
      </c>
      <c r="B970" s="1" t="s">
        <v>16</v>
      </c>
      <c r="C970" s="1" t="s">
        <v>56</v>
      </c>
      <c r="D970" s="1" t="s">
        <v>41</v>
      </c>
      <c r="E970" s="1">
        <v>0</v>
      </c>
      <c r="F970" s="1">
        <v>0</v>
      </c>
      <c r="G970" s="1">
        <v>36</v>
      </c>
      <c r="I970" s="1">
        <v>0</v>
      </c>
      <c r="J970" s="1">
        <v>0</v>
      </c>
      <c r="K970" s="1">
        <v>0</v>
      </c>
      <c r="L970" s="1">
        <v>0</v>
      </c>
      <c r="M970" s="1" t="s">
        <v>19</v>
      </c>
      <c r="N970" s="1" t="s">
        <v>47</v>
      </c>
      <c r="O970" s="1" t="s">
        <v>47</v>
      </c>
      <c r="P970" s="2">
        <f t="shared" si="30"/>
        <v>0</v>
      </c>
      <c r="Q970" s="2">
        <f t="shared" si="31"/>
        <v>0</v>
      </c>
    </row>
    <row r="971" spans="1:17" ht="12.5" x14ac:dyDescent="0.25">
      <c r="A971" s="3">
        <v>46241</v>
      </c>
      <c r="B971" s="1" t="s">
        <v>16</v>
      </c>
      <c r="C971" s="1" t="s">
        <v>56</v>
      </c>
      <c r="D971" s="1" t="s">
        <v>41</v>
      </c>
      <c r="E971" s="1">
        <v>0</v>
      </c>
      <c r="F971" s="1">
        <v>0</v>
      </c>
      <c r="G971" s="1">
        <v>45</v>
      </c>
      <c r="I971" s="1">
        <v>0</v>
      </c>
      <c r="J971" s="1">
        <v>0</v>
      </c>
      <c r="K971" s="1">
        <v>0</v>
      </c>
      <c r="L971" s="1">
        <v>0</v>
      </c>
      <c r="M971" s="1" t="s">
        <v>19</v>
      </c>
      <c r="N971" s="1" t="s">
        <v>47</v>
      </c>
      <c r="O971" s="1" t="s">
        <v>47</v>
      </c>
      <c r="P971" s="2">
        <f t="shared" si="30"/>
        <v>0</v>
      </c>
      <c r="Q971" s="2">
        <f t="shared" si="31"/>
        <v>0</v>
      </c>
    </row>
    <row r="972" spans="1:17" ht="12.5" x14ac:dyDescent="0.25">
      <c r="A972" s="1" t="s">
        <v>136</v>
      </c>
      <c r="B972" s="1" t="s">
        <v>16</v>
      </c>
      <c r="C972" s="1" t="s">
        <v>56</v>
      </c>
      <c r="D972" s="1" t="s">
        <v>41</v>
      </c>
      <c r="E972" s="1">
        <v>0</v>
      </c>
      <c r="F972" s="1">
        <v>0</v>
      </c>
      <c r="G972" s="1">
        <v>189</v>
      </c>
      <c r="I972" s="1">
        <v>0</v>
      </c>
      <c r="J972" s="1">
        <v>0</v>
      </c>
      <c r="K972" s="1">
        <v>0</v>
      </c>
      <c r="L972" s="1">
        <v>0</v>
      </c>
      <c r="M972" s="1" t="s">
        <v>19</v>
      </c>
      <c r="N972" s="1" t="s">
        <v>47</v>
      </c>
      <c r="O972" s="1" t="s">
        <v>47</v>
      </c>
      <c r="P972" s="2">
        <f t="shared" si="30"/>
        <v>0</v>
      </c>
      <c r="Q972" s="2">
        <f t="shared" si="3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 BI</vt:lpstr>
      <vt:lpstr>Sheet1</vt:lpstr>
      <vt:lpstr>Google_Ads_data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IFRA SIDDIQUI</cp:lastModifiedBy>
  <dcterms:modified xsi:type="dcterms:W3CDTF">2026-09-13T12:07:30Z</dcterms:modified>
</cp:coreProperties>
</file>